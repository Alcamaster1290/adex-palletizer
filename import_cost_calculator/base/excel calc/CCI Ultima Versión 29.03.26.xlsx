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tables/table1.xml" ContentType="application/vnd.openxmlformats-officedocument.spreadsheetml.tab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2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3.xml" ContentType="application/vnd.openxmlformats-officedocument.drawing+xml"/>
  <Override PartName="/xl/charts/chart3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3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OneDrive\Desktop\"/>
    </mc:Choice>
  </mc:AlternateContent>
  <xr:revisionPtr revIDLastSave="0" documentId="8_{AC14CE79-EFB2-4220-8930-DD796BFE4D15}" xr6:coauthVersionLast="47" xr6:coauthVersionMax="47" xr10:uidLastSave="{00000000-0000-0000-0000-000000000000}"/>
  <bookViews>
    <workbookView xWindow="-120" yWindow="-120" windowWidth="20730" windowHeight="11040" tabRatio="898" firstSheet="7" activeTab="12" xr2:uid="{00000000-000D-0000-FFFF-FFFF00000000}"/>
  </bookViews>
  <sheets>
    <sheet name="🏠 PORTADA" sheetId="1" r:id="rId1"/>
    <sheet name="📖 Instrucciones" sheetId="2" r:id="rId2"/>
    <sheet name="Doc. Necesarios" sheetId="17" r:id="rId3"/>
    <sheet name="📋 Datos Generales" sheetId="3" r:id="rId4"/>
    <sheet name="🧾 Factura Comercial" sheetId="4" r:id="rId5"/>
    <sheet name="📦 Gastos Importación" sheetId="5" r:id="rId6"/>
    <sheet name="🧾 Tributos Aduana" sheetId="6" r:id="rId7"/>
    <sheet name="🧮 Costos x Producto" sheetId="7" r:id="rId8"/>
    <sheet name="💰 Precio de Venta" sheetId="8" r:id="rId9"/>
    <sheet name="🏦 Crédito Fiscal" sheetId="9" r:id="rId10"/>
    <sheet name="Detallado por producto" sheetId="16" r:id="rId11"/>
    <sheet name="📊 Dashboard" sheetId="10" state="hidden" r:id="rId12"/>
    <sheet name="📊 Dashboard General" sheetId="12" r:id="rId13"/>
    <sheet name="🏦Detallado por Producto" sheetId="14" state="hidden" r:id="rId14"/>
    <sheet name="📊 KPI x Producto" sheetId="13" r:id="rId15"/>
  </sheets>
  <externalReferences>
    <externalReference r:id="rId1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5" l="1"/>
  <c r="E27" i="5"/>
  <c r="E26" i="5"/>
  <c r="G4" i="7"/>
  <c r="I4" i="7" s="1"/>
  <c r="F20" i="6"/>
  <c r="F14" i="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G5" i="7"/>
  <c r="E5" i="5"/>
  <c r="F13" i="6"/>
  <c r="G12" i="8"/>
  <c r="G8" i="8"/>
  <c r="G3" i="16"/>
  <c r="G9" i="8"/>
  <c r="F7" i="7"/>
  <c r="G7" i="7"/>
  <c r="H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7" i="7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5" i="4"/>
  <c r="I5" i="4"/>
  <c r="F26" i="5"/>
  <c r="O66" i="10"/>
  <c r="P66" i="10"/>
  <c r="A12" i="16"/>
  <c r="AQ33" i="16"/>
  <c r="AQ34" i="16"/>
  <c r="AQ35" i="16"/>
  <c r="AQ36" i="16"/>
  <c r="AQ37" i="16"/>
  <c r="AQ38" i="16"/>
  <c r="AQ39" i="16"/>
  <c r="AQ40" i="16"/>
  <c r="AQ41" i="16"/>
  <c r="AQ42" i="16"/>
  <c r="AQ43" i="16"/>
  <c r="AQ44" i="16"/>
  <c r="AQ45" i="16"/>
  <c r="AQ46" i="16"/>
  <c r="AQ47" i="16"/>
  <c r="AQ48" i="16"/>
  <c r="AQ49" i="16"/>
  <c r="AQ50" i="16"/>
  <c r="AQ51" i="16"/>
  <c r="AQ52" i="16"/>
  <c r="AQ53" i="16"/>
  <c r="AQ54" i="16"/>
  <c r="AQ55" i="16"/>
  <c r="AQ56" i="16"/>
  <c r="AQ57" i="16"/>
  <c r="AQ58" i="16"/>
  <c r="AQ59" i="16"/>
  <c r="AQ60" i="16"/>
  <c r="AQ61" i="16"/>
  <c r="AQ62" i="16"/>
  <c r="AQ63" i="16"/>
  <c r="AQ64" i="16"/>
  <c r="AQ65" i="16"/>
  <c r="AQ66" i="16"/>
  <c r="AQ67" i="16"/>
  <c r="AQ68" i="16"/>
  <c r="AQ69" i="16"/>
  <c r="AQ70" i="16"/>
  <c r="AQ71" i="16"/>
  <c r="AQ72" i="16"/>
  <c r="AQ73" i="16"/>
  <c r="AQ74" i="16"/>
  <c r="AQ75" i="16"/>
  <c r="AQ76" i="16"/>
  <c r="AQ77" i="16"/>
  <c r="AQ78" i="16"/>
  <c r="AQ79" i="16"/>
  <c r="AQ80" i="16"/>
  <c r="AQ81" i="16"/>
  <c r="AQ82" i="16"/>
  <c r="AQ83" i="16"/>
  <c r="AQ84" i="16"/>
  <c r="AQ85" i="16"/>
  <c r="AQ86" i="16"/>
  <c r="AQ87" i="16"/>
  <c r="AQ88" i="16"/>
  <c r="AQ89" i="16"/>
  <c r="AU33" i="16"/>
  <c r="AU34" i="16"/>
  <c r="AU35" i="16"/>
  <c r="AU36" i="16"/>
  <c r="AU37" i="16"/>
  <c r="AU38" i="16"/>
  <c r="AU39" i="16"/>
  <c r="AU40" i="16"/>
  <c r="AU41" i="16"/>
  <c r="AU42" i="16"/>
  <c r="AU43" i="16"/>
  <c r="AU44" i="16"/>
  <c r="AU45" i="16"/>
  <c r="AU46" i="16"/>
  <c r="AU47" i="16"/>
  <c r="AU48" i="16"/>
  <c r="AU49" i="16"/>
  <c r="AU50" i="16"/>
  <c r="AU51" i="16"/>
  <c r="AU52" i="16"/>
  <c r="AU53" i="16"/>
  <c r="AU54" i="16"/>
  <c r="AU55" i="16"/>
  <c r="AU56" i="16"/>
  <c r="AU57" i="16"/>
  <c r="AU58" i="16"/>
  <c r="AU59" i="16"/>
  <c r="AU60" i="16"/>
  <c r="AU61" i="16"/>
  <c r="AU62" i="16"/>
  <c r="AU63" i="16"/>
  <c r="AU64" i="16"/>
  <c r="AU65" i="16"/>
  <c r="AU66" i="16"/>
  <c r="AU67" i="16"/>
  <c r="AU68" i="16"/>
  <c r="AU69" i="16"/>
  <c r="AU70" i="16"/>
  <c r="AU71" i="16"/>
  <c r="AU72" i="16"/>
  <c r="AU73" i="16"/>
  <c r="AU74" i="16"/>
  <c r="AU75" i="16"/>
  <c r="AU76" i="16"/>
  <c r="AU77" i="16"/>
  <c r="AU78" i="16"/>
  <c r="AU79" i="16"/>
  <c r="AU80" i="16"/>
  <c r="AU81" i="16"/>
  <c r="AU82" i="16"/>
  <c r="AU83" i="16"/>
  <c r="AU84" i="16"/>
  <c r="AU85" i="16"/>
  <c r="AU86" i="16"/>
  <c r="AU87" i="16"/>
  <c r="AU88" i="16"/>
  <c r="AU89" i="16"/>
  <c r="AS33" i="16"/>
  <c r="AS34" i="16"/>
  <c r="AS35" i="16"/>
  <c r="AS36" i="16"/>
  <c r="AS37" i="16"/>
  <c r="AS38" i="16"/>
  <c r="AS39" i="16"/>
  <c r="AS40" i="16"/>
  <c r="AS41" i="16"/>
  <c r="AS42" i="16"/>
  <c r="AS43" i="16"/>
  <c r="AS44" i="16"/>
  <c r="AS45" i="16"/>
  <c r="AS46" i="16"/>
  <c r="AS47" i="16"/>
  <c r="AS48" i="16"/>
  <c r="AS49" i="16"/>
  <c r="AS50" i="16"/>
  <c r="AS51" i="16"/>
  <c r="AS52" i="16"/>
  <c r="AS53" i="16"/>
  <c r="AS54" i="16"/>
  <c r="AS55" i="16"/>
  <c r="AS56" i="16"/>
  <c r="AS57" i="16"/>
  <c r="AS58" i="16"/>
  <c r="AS59" i="16"/>
  <c r="AS60" i="16"/>
  <c r="AS61" i="16"/>
  <c r="AS62" i="16"/>
  <c r="AS63" i="16"/>
  <c r="AS64" i="16"/>
  <c r="AS65" i="16"/>
  <c r="AS66" i="16"/>
  <c r="AS67" i="16"/>
  <c r="AS68" i="16"/>
  <c r="AS69" i="16"/>
  <c r="AS70" i="16"/>
  <c r="AS71" i="16"/>
  <c r="AS72" i="16"/>
  <c r="AS73" i="16"/>
  <c r="AS74" i="16"/>
  <c r="AS75" i="16"/>
  <c r="AS76" i="16"/>
  <c r="AS77" i="16"/>
  <c r="AS78" i="16"/>
  <c r="AS79" i="16"/>
  <c r="AS80" i="16"/>
  <c r="AS81" i="16"/>
  <c r="AS82" i="16"/>
  <c r="AS83" i="16"/>
  <c r="AS84" i="16"/>
  <c r="AS85" i="16"/>
  <c r="AS86" i="16"/>
  <c r="AS87" i="16"/>
  <c r="AS88" i="16"/>
  <c r="AS89" i="16"/>
  <c r="AR33" i="16"/>
  <c r="AT33" i="16" s="1"/>
  <c r="AR34" i="16"/>
  <c r="AT34" i="16" s="1"/>
  <c r="AR35" i="16"/>
  <c r="AT35" i="16" s="1"/>
  <c r="AR36" i="16"/>
  <c r="AT36" i="16" s="1"/>
  <c r="AR37" i="16"/>
  <c r="AT37" i="16" s="1"/>
  <c r="AR38" i="16"/>
  <c r="AT38" i="16" s="1"/>
  <c r="AR39" i="16"/>
  <c r="AT39" i="16" s="1"/>
  <c r="AR40" i="16"/>
  <c r="AT40" i="16" s="1"/>
  <c r="AR41" i="16"/>
  <c r="AT41" i="16" s="1"/>
  <c r="AR42" i="16"/>
  <c r="AT42" i="16" s="1"/>
  <c r="AR43" i="16"/>
  <c r="AT43" i="16" s="1"/>
  <c r="AR44" i="16"/>
  <c r="AT44" i="16" s="1"/>
  <c r="AR45" i="16"/>
  <c r="AT45" i="16" s="1"/>
  <c r="AR46" i="16"/>
  <c r="AT46" i="16" s="1"/>
  <c r="AR47" i="16"/>
  <c r="AT47" i="16" s="1"/>
  <c r="AR48" i="16"/>
  <c r="AT48" i="16" s="1"/>
  <c r="AR49" i="16"/>
  <c r="AT49" i="16" s="1"/>
  <c r="AR50" i="16"/>
  <c r="AT50" i="16" s="1"/>
  <c r="AR51" i="16"/>
  <c r="AT51" i="16" s="1"/>
  <c r="AR52" i="16"/>
  <c r="AT52" i="16" s="1"/>
  <c r="AR53" i="16"/>
  <c r="AT53" i="16" s="1"/>
  <c r="AR54" i="16"/>
  <c r="AT54" i="16" s="1"/>
  <c r="AR55" i="16"/>
  <c r="AT55" i="16" s="1"/>
  <c r="AR56" i="16"/>
  <c r="AT56" i="16" s="1"/>
  <c r="AR57" i="16"/>
  <c r="AT57" i="16" s="1"/>
  <c r="AR58" i="16"/>
  <c r="AT58" i="16" s="1"/>
  <c r="AR59" i="16"/>
  <c r="AT59" i="16" s="1"/>
  <c r="AR60" i="16"/>
  <c r="AT60" i="16" s="1"/>
  <c r="AR61" i="16"/>
  <c r="AT61" i="16" s="1"/>
  <c r="AR62" i="16"/>
  <c r="AT62" i="16" s="1"/>
  <c r="AR63" i="16"/>
  <c r="AT63" i="16" s="1"/>
  <c r="AR64" i="16"/>
  <c r="AT64" i="16" s="1"/>
  <c r="AR65" i="16"/>
  <c r="AT65" i="16" s="1"/>
  <c r="AR66" i="16"/>
  <c r="AT66" i="16" s="1"/>
  <c r="AR67" i="16"/>
  <c r="AT67" i="16" s="1"/>
  <c r="AR68" i="16"/>
  <c r="AT68" i="16" s="1"/>
  <c r="AR69" i="16"/>
  <c r="AT69" i="16" s="1"/>
  <c r="AR70" i="16"/>
  <c r="AT70" i="16" s="1"/>
  <c r="AR71" i="16"/>
  <c r="AT71" i="16" s="1"/>
  <c r="AR72" i="16"/>
  <c r="AT72" i="16" s="1"/>
  <c r="AR73" i="16"/>
  <c r="AT73" i="16" s="1"/>
  <c r="AR74" i="16"/>
  <c r="AT74" i="16" s="1"/>
  <c r="AR75" i="16"/>
  <c r="AT75" i="16" s="1"/>
  <c r="AR76" i="16"/>
  <c r="AT76" i="16" s="1"/>
  <c r="AR77" i="16"/>
  <c r="AT77" i="16" s="1"/>
  <c r="AR78" i="16"/>
  <c r="AT78" i="16" s="1"/>
  <c r="AR79" i="16"/>
  <c r="AT79" i="16" s="1"/>
  <c r="AR80" i="16"/>
  <c r="AT80" i="16" s="1"/>
  <c r="AR81" i="16"/>
  <c r="AT81" i="16" s="1"/>
  <c r="AR82" i="16"/>
  <c r="AT82" i="16" s="1"/>
  <c r="AR83" i="16"/>
  <c r="AT83" i="16" s="1"/>
  <c r="AR84" i="16"/>
  <c r="AT84" i="16" s="1"/>
  <c r="AR85" i="16"/>
  <c r="AT85" i="16" s="1"/>
  <c r="AR86" i="16"/>
  <c r="AT86" i="16" s="1"/>
  <c r="AR87" i="16"/>
  <c r="AT87" i="16" s="1"/>
  <c r="AR88" i="16"/>
  <c r="AT88" i="16" s="1"/>
  <c r="AR89" i="16"/>
  <c r="AT89" i="16" s="1"/>
  <c r="AP33" i="16"/>
  <c r="AP34" i="16"/>
  <c r="AP35" i="16"/>
  <c r="AP36" i="16"/>
  <c r="AP37" i="16"/>
  <c r="AP38" i="16"/>
  <c r="AP39" i="16"/>
  <c r="AP40" i="16"/>
  <c r="AP41" i="16"/>
  <c r="AP42" i="16"/>
  <c r="AP43" i="16"/>
  <c r="AP44" i="16"/>
  <c r="AP45" i="16"/>
  <c r="AP46" i="16"/>
  <c r="AP47" i="16"/>
  <c r="AP48" i="16"/>
  <c r="AP49" i="16"/>
  <c r="AP50" i="16"/>
  <c r="AP51" i="16"/>
  <c r="AP52" i="16"/>
  <c r="AP53" i="16"/>
  <c r="AP54" i="16"/>
  <c r="AP55" i="16"/>
  <c r="AP56" i="16"/>
  <c r="AP57" i="16"/>
  <c r="AP58" i="16"/>
  <c r="AP59" i="16"/>
  <c r="AP60" i="16"/>
  <c r="AP61" i="16"/>
  <c r="AP62" i="16"/>
  <c r="AP63" i="16"/>
  <c r="AP64" i="16"/>
  <c r="AP65" i="16"/>
  <c r="AP66" i="16"/>
  <c r="AP67" i="16"/>
  <c r="AP68" i="16"/>
  <c r="AP69" i="16"/>
  <c r="AP70" i="16"/>
  <c r="AP71" i="16"/>
  <c r="AP72" i="16"/>
  <c r="AP73" i="16"/>
  <c r="AP74" i="16"/>
  <c r="AP75" i="16"/>
  <c r="AP76" i="16"/>
  <c r="AP77" i="16"/>
  <c r="AP78" i="16"/>
  <c r="AP79" i="16"/>
  <c r="AP80" i="16"/>
  <c r="AP81" i="16"/>
  <c r="AP82" i="16"/>
  <c r="AP83" i="16"/>
  <c r="AP84" i="16"/>
  <c r="AP85" i="16"/>
  <c r="AP86" i="16"/>
  <c r="AP87" i="16"/>
  <c r="AP88" i="16"/>
  <c r="AP89" i="16"/>
  <c r="AO33" i="16"/>
  <c r="AW33" i="16" s="1"/>
  <c r="AO34" i="16"/>
  <c r="AW34" i="16" s="1"/>
  <c r="AO35" i="16"/>
  <c r="AW35" i="16" s="1"/>
  <c r="AO36" i="16"/>
  <c r="AW36" i="16" s="1"/>
  <c r="AO37" i="16"/>
  <c r="AW37" i="16" s="1"/>
  <c r="AO38" i="16"/>
  <c r="AW38" i="16" s="1"/>
  <c r="AO39" i="16"/>
  <c r="AW39" i="16" s="1"/>
  <c r="AO40" i="16"/>
  <c r="AW40" i="16" s="1"/>
  <c r="AO41" i="16"/>
  <c r="AW41" i="16" s="1"/>
  <c r="AO42" i="16"/>
  <c r="AW42" i="16" s="1"/>
  <c r="AO43" i="16"/>
  <c r="AW43" i="16" s="1"/>
  <c r="AO44" i="16"/>
  <c r="AW44" i="16" s="1"/>
  <c r="AO45" i="16"/>
  <c r="AW45" i="16" s="1"/>
  <c r="AO46" i="16"/>
  <c r="AW46" i="16" s="1"/>
  <c r="AO47" i="16"/>
  <c r="AW47" i="16" s="1"/>
  <c r="AO48" i="16"/>
  <c r="AW48" i="16" s="1"/>
  <c r="AO49" i="16"/>
  <c r="AW49" i="16" s="1"/>
  <c r="AO50" i="16"/>
  <c r="AW50" i="16" s="1"/>
  <c r="AO51" i="16"/>
  <c r="AW51" i="16" s="1"/>
  <c r="AO52" i="16"/>
  <c r="AW52" i="16" s="1"/>
  <c r="AO53" i="16"/>
  <c r="AW53" i="16" s="1"/>
  <c r="AO54" i="16"/>
  <c r="AW54" i="16" s="1"/>
  <c r="AO55" i="16"/>
  <c r="AW55" i="16" s="1"/>
  <c r="AO56" i="16"/>
  <c r="AO57" i="16"/>
  <c r="AW57" i="16" s="1"/>
  <c r="AO58" i="16"/>
  <c r="AW58" i="16" s="1"/>
  <c r="AO59" i="16"/>
  <c r="AW59" i="16" s="1"/>
  <c r="AO60" i="16"/>
  <c r="AW60" i="16" s="1"/>
  <c r="AO61" i="16"/>
  <c r="AW61" i="16" s="1"/>
  <c r="AO62" i="16"/>
  <c r="AW62" i="16" s="1"/>
  <c r="AO63" i="16"/>
  <c r="AW63" i="16" s="1"/>
  <c r="AO64" i="16"/>
  <c r="AW64" i="16" s="1"/>
  <c r="AO65" i="16"/>
  <c r="AW65" i="16" s="1"/>
  <c r="AO66" i="16"/>
  <c r="AW66" i="16" s="1"/>
  <c r="AO67" i="16"/>
  <c r="AW67" i="16" s="1"/>
  <c r="AO68" i="16"/>
  <c r="AW68" i="16" s="1"/>
  <c r="AO69" i="16"/>
  <c r="AW69" i="16" s="1"/>
  <c r="AO70" i="16"/>
  <c r="AW70" i="16" s="1"/>
  <c r="AO71" i="16"/>
  <c r="AW71" i="16" s="1"/>
  <c r="AO72" i="16"/>
  <c r="AW72" i="16" s="1"/>
  <c r="AO73" i="16"/>
  <c r="AW73" i="16" s="1"/>
  <c r="AO74" i="16"/>
  <c r="AW74" i="16" s="1"/>
  <c r="AO75" i="16"/>
  <c r="AW75" i="16" s="1"/>
  <c r="AO76" i="16"/>
  <c r="AW76" i="16" s="1"/>
  <c r="AO77" i="16"/>
  <c r="AW77" i="16" s="1"/>
  <c r="AO78" i="16"/>
  <c r="AW78" i="16" s="1"/>
  <c r="AO79" i="16"/>
  <c r="AW79" i="16" s="1"/>
  <c r="AO80" i="16"/>
  <c r="AW80" i="16" s="1"/>
  <c r="AO81" i="16"/>
  <c r="AW81" i="16" s="1"/>
  <c r="AO82" i="16"/>
  <c r="AW82" i="16" s="1"/>
  <c r="AO83" i="16"/>
  <c r="AW83" i="16" s="1"/>
  <c r="AO84" i="16"/>
  <c r="AW84" i="16" s="1"/>
  <c r="AO85" i="16"/>
  <c r="AW85" i="16" s="1"/>
  <c r="AO86" i="16"/>
  <c r="AW86" i="16" s="1"/>
  <c r="AO87" i="16"/>
  <c r="AW87" i="16" s="1"/>
  <c r="AO88" i="16"/>
  <c r="AW88" i="16" s="1"/>
  <c r="AO89" i="16"/>
  <c r="AW89" i="16" s="1"/>
  <c r="AL12" i="16"/>
  <c r="AM12" i="16" s="1"/>
  <c r="AN12" i="16" s="1"/>
  <c r="AL13" i="16"/>
  <c r="AM13" i="16" s="1"/>
  <c r="AN13" i="16" s="1"/>
  <c r="AL14" i="16"/>
  <c r="AM14" i="16" s="1"/>
  <c r="AN14" i="16" s="1"/>
  <c r="AL15" i="16"/>
  <c r="AM15" i="16" s="1"/>
  <c r="AN15" i="16" s="1"/>
  <c r="AL16" i="16"/>
  <c r="AM16" i="16" s="1"/>
  <c r="AN16" i="16" s="1"/>
  <c r="AL17" i="16"/>
  <c r="AM17" i="16" s="1"/>
  <c r="AN17" i="16" s="1"/>
  <c r="AL18" i="16"/>
  <c r="AM18" i="16" s="1"/>
  <c r="AN18" i="16" s="1"/>
  <c r="AL19" i="16"/>
  <c r="AM19" i="16" s="1"/>
  <c r="AN19" i="16" s="1"/>
  <c r="AL20" i="16"/>
  <c r="AM20" i="16" s="1"/>
  <c r="AN20" i="16" s="1"/>
  <c r="AL21" i="16"/>
  <c r="AM21" i="16" s="1"/>
  <c r="AN21" i="16" s="1"/>
  <c r="AL22" i="16"/>
  <c r="AM22" i="16" s="1"/>
  <c r="AN22" i="16" s="1"/>
  <c r="AL23" i="16"/>
  <c r="AM23" i="16" s="1"/>
  <c r="AN23" i="16" s="1"/>
  <c r="AL24" i="16"/>
  <c r="AM24" i="16" s="1"/>
  <c r="AN24" i="16" s="1"/>
  <c r="AL25" i="16"/>
  <c r="AM25" i="16" s="1"/>
  <c r="AN25" i="16" s="1"/>
  <c r="AL26" i="16"/>
  <c r="AM26" i="16" s="1"/>
  <c r="AN26" i="16" s="1"/>
  <c r="AL27" i="16"/>
  <c r="AM27" i="16" s="1"/>
  <c r="AN27" i="16" s="1"/>
  <c r="AL28" i="16"/>
  <c r="AM28" i="16" s="1"/>
  <c r="AN28" i="16" s="1"/>
  <c r="AL29" i="16"/>
  <c r="AM29" i="16" s="1"/>
  <c r="AN29" i="16" s="1"/>
  <c r="AL30" i="16"/>
  <c r="AM30" i="16" s="1"/>
  <c r="AN30" i="16" s="1"/>
  <c r="AL31" i="16"/>
  <c r="AM31" i="16" s="1"/>
  <c r="AN31" i="16" s="1"/>
  <c r="AL32" i="16"/>
  <c r="AM32" i="16" s="1"/>
  <c r="AN32" i="16" s="1"/>
  <c r="AL33" i="16"/>
  <c r="AM33" i="16" s="1"/>
  <c r="AL34" i="16"/>
  <c r="AM34" i="16" s="1"/>
  <c r="AN34" i="16" s="1"/>
  <c r="AL35" i="16"/>
  <c r="AM35" i="16" s="1"/>
  <c r="AN35" i="16" s="1"/>
  <c r="AL36" i="16"/>
  <c r="AM36" i="16" s="1"/>
  <c r="AN36" i="16" s="1"/>
  <c r="AL37" i="16"/>
  <c r="AM37" i="16" s="1"/>
  <c r="AN37" i="16" s="1"/>
  <c r="AL38" i="16"/>
  <c r="AM38" i="16" s="1"/>
  <c r="AN38" i="16" s="1"/>
  <c r="AL39" i="16"/>
  <c r="AM39" i="16" s="1"/>
  <c r="AN39" i="16" s="1"/>
  <c r="AL40" i="16"/>
  <c r="AM40" i="16" s="1"/>
  <c r="AN40" i="16" s="1"/>
  <c r="AL41" i="16"/>
  <c r="AM41" i="16" s="1"/>
  <c r="AN41" i="16" s="1"/>
  <c r="AL42" i="16"/>
  <c r="AM42" i="16" s="1"/>
  <c r="AN42" i="16" s="1"/>
  <c r="AL43" i="16"/>
  <c r="AM43" i="16" s="1"/>
  <c r="AN43" i="16" s="1"/>
  <c r="AL44" i="16"/>
  <c r="AM44" i="16" s="1"/>
  <c r="AN44" i="16" s="1"/>
  <c r="AL45" i="16"/>
  <c r="AM45" i="16" s="1"/>
  <c r="AN45" i="16" s="1"/>
  <c r="AL46" i="16"/>
  <c r="AM46" i="16" s="1"/>
  <c r="AN46" i="16" s="1"/>
  <c r="AL47" i="16"/>
  <c r="AM47" i="16" s="1"/>
  <c r="AN47" i="16" s="1"/>
  <c r="AL48" i="16"/>
  <c r="AM48" i="16" s="1"/>
  <c r="AN48" i="16" s="1"/>
  <c r="AL49" i="16"/>
  <c r="AM49" i="16" s="1"/>
  <c r="AN49" i="16" s="1"/>
  <c r="AL50" i="16"/>
  <c r="AM50" i="16" s="1"/>
  <c r="AN50" i="16" s="1"/>
  <c r="AL51" i="16"/>
  <c r="AM51" i="16" s="1"/>
  <c r="AN51" i="16" s="1"/>
  <c r="AL52" i="16"/>
  <c r="AM52" i="16" s="1"/>
  <c r="AN52" i="16" s="1"/>
  <c r="AL53" i="16"/>
  <c r="AM53" i="16" s="1"/>
  <c r="AN53" i="16" s="1"/>
  <c r="AL54" i="16"/>
  <c r="AM54" i="16" s="1"/>
  <c r="AN54" i="16" s="1"/>
  <c r="AL55" i="16"/>
  <c r="AM55" i="16" s="1"/>
  <c r="AN55" i="16" s="1"/>
  <c r="AL56" i="16"/>
  <c r="AM56" i="16" s="1"/>
  <c r="AN56" i="16" s="1"/>
  <c r="AL57" i="16"/>
  <c r="AM57" i="16" s="1"/>
  <c r="AN57" i="16" s="1"/>
  <c r="AL58" i="16"/>
  <c r="AM58" i="16" s="1"/>
  <c r="AN58" i="16" s="1"/>
  <c r="AL59" i="16"/>
  <c r="AM59" i="16" s="1"/>
  <c r="AN59" i="16" s="1"/>
  <c r="AL60" i="16"/>
  <c r="AM60" i="16" s="1"/>
  <c r="AN60" i="16" s="1"/>
  <c r="AL61" i="16"/>
  <c r="AM61" i="16" s="1"/>
  <c r="AN61" i="16" s="1"/>
  <c r="AL62" i="16"/>
  <c r="AM62" i="16" s="1"/>
  <c r="AN62" i="16" s="1"/>
  <c r="AL63" i="16"/>
  <c r="AM63" i="16" s="1"/>
  <c r="AN63" i="16" s="1"/>
  <c r="AL64" i="16"/>
  <c r="AM64" i="16" s="1"/>
  <c r="AN64" i="16" s="1"/>
  <c r="AL65" i="16"/>
  <c r="AM65" i="16" s="1"/>
  <c r="AN65" i="16" s="1"/>
  <c r="AL66" i="16"/>
  <c r="AM66" i="16" s="1"/>
  <c r="AN66" i="16" s="1"/>
  <c r="AL67" i="16"/>
  <c r="AM67" i="16" s="1"/>
  <c r="AN67" i="16" s="1"/>
  <c r="AL68" i="16"/>
  <c r="AM68" i="16" s="1"/>
  <c r="AN68" i="16" s="1"/>
  <c r="AL69" i="16"/>
  <c r="AM69" i="16" s="1"/>
  <c r="AL70" i="16"/>
  <c r="AM70" i="16" s="1"/>
  <c r="AN70" i="16" s="1"/>
  <c r="AL71" i="16"/>
  <c r="AM71" i="16" s="1"/>
  <c r="AN71" i="16" s="1"/>
  <c r="AL72" i="16"/>
  <c r="AM72" i="16" s="1"/>
  <c r="AN72" i="16" s="1"/>
  <c r="AL73" i="16"/>
  <c r="AM73" i="16" s="1"/>
  <c r="AN73" i="16" s="1"/>
  <c r="AL74" i="16"/>
  <c r="AM74" i="16" s="1"/>
  <c r="AN74" i="16" s="1"/>
  <c r="AL75" i="16"/>
  <c r="AM75" i="16" s="1"/>
  <c r="AN75" i="16" s="1"/>
  <c r="AL76" i="16"/>
  <c r="AM76" i="16" s="1"/>
  <c r="AN76" i="16" s="1"/>
  <c r="AL77" i="16"/>
  <c r="AM77" i="16" s="1"/>
  <c r="AN77" i="16" s="1"/>
  <c r="AL78" i="16"/>
  <c r="AM78" i="16" s="1"/>
  <c r="AN78" i="16" s="1"/>
  <c r="AL79" i="16"/>
  <c r="AM79" i="16" s="1"/>
  <c r="AN79" i="16" s="1"/>
  <c r="AL80" i="16"/>
  <c r="AM80" i="16" s="1"/>
  <c r="AN80" i="16" s="1"/>
  <c r="AL81" i="16"/>
  <c r="AM81" i="16" s="1"/>
  <c r="AN81" i="16" s="1"/>
  <c r="AL82" i="16"/>
  <c r="AM82" i="16" s="1"/>
  <c r="AN82" i="16" s="1"/>
  <c r="AL83" i="16"/>
  <c r="AM83" i="16" s="1"/>
  <c r="AN83" i="16" s="1"/>
  <c r="AL84" i="16"/>
  <c r="AM84" i="16" s="1"/>
  <c r="AN84" i="16" s="1"/>
  <c r="AL85" i="16"/>
  <c r="AM85" i="16" s="1"/>
  <c r="AN85" i="16" s="1"/>
  <c r="AL86" i="16"/>
  <c r="AM86" i="16" s="1"/>
  <c r="AN86" i="16" s="1"/>
  <c r="AL87" i="16"/>
  <c r="AM87" i="16" s="1"/>
  <c r="AN87" i="16" s="1"/>
  <c r="AL88" i="16"/>
  <c r="AM88" i="16" s="1"/>
  <c r="AN88" i="16" s="1"/>
  <c r="AL89" i="16"/>
  <c r="AM89" i="16" s="1"/>
  <c r="AN89" i="16" s="1"/>
  <c r="AK12" i="16"/>
  <c r="AK13" i="16"/>
  <c r="AK14" i="16"/>
  <c r="AK15" i="16"/>
  <c r="AK16" i="16"/>
  <c r="AK17" i="16"/>
  <c r="AK18" i="16"/>
  <c r="AK19" i="16"/>
  <c r="AK20" i="16"/>
  <c r="AK21" i="16"/>
  <c r="AK22" i="16"/>
  <c r="AK23" i="16"/>
  <c r="AK24" i="16"/>
  <c r="AK25" i="16"/>
  <c r="AK26" i="16"/>
  <c r="AK27" i="16"/>
  <c r="AK28" i="16"/>
  <c r="AK29" i="16"/>
  <c r="AK30" i="16"/>
  <c r="AK31" i="16"/>
  <c r="AK32" i="16"/>
  <c r="AK33" i="16"/>
  <c r="AK34" i="16"/>
  <c r="AK35" i="16"/>
  <c r="AK36" i="16"/>
  <c r="AK37" i="16"/>
  <c r="AK38" i="16"/>
  <c r="AK39" i="16"/>
  <c r="AK40" i="16"/>
  <c r="AK41" i="16"/>
  <c r="AK42" i="16"/>
  <c r="AK43" i="16"/>
  <c r="AK44" i="16"/>
  <c r="AK45" i="16"/>
  <c r="AK46" i="16"/>
  <c r="AK47" i="16"/>
  <c r="AK48" i="16"/>
  <c r="AK49" i="16"/>
  <c r="AK50" i="16"/>
  <c r="AK51" i="16"/>
  <c r="AK52" i="16"/>
  <c r="AK53" i="16"/>
  <c r="AK54" i="16"/>
  <c r="AK55" i="16"/>
  <c r="AK56" i="16"/>
  <c r="AK57" i="16"/>
  <c r="AK58" i="16"/>
  <c r="AK59" i="16"/>
  <c r="AK60" i="16"/>
  <c r="AK61" i="16"/>
  <c r="AK62" i="16"/>
  <c r="AK63" i="16"/>
  <c r="AK64" i="16"/>
  <c r="AK65" i="16"/>
  <c r="AK66" i="16"/>
  <c r="AK67" i="16"/>
  <c r="AK68" i="16"/>
  <c r="AK69" i="16"/>
  <c r="AK70" i="16"/>
  <c r="AK71" i="16"/>
  <c r="AK72" i="16"/>
  <c r="AK73" i="16"/>
  <c r="AK74" i="16"/>
  <c r="AK75" i="16"/>
  <c r="AK76" i="16"/>
  <c r="AK77" i="16"/>
  <c r="AK78" i="16"/>
  <c r="AK79" i="16"/>
  <c r="AK80" i="16"/>
  <c r="AK81" i="16"/>
  <c r="AK82" i="16"/>
  <c r="AK83" i="16"/>
  <c r="AK84" i="16"/>
  <c r="AK85" i="16"/>
  <c r="AK86" i="16"/>
  <c r="AK87" i="16"/>
  <c r="AK88" i="16"/>
  <c r="AK89" i="16"/>
  <c r="AJ33" i="16"/>
  <c r="AV33" i="16" s="1"/>
  <c r="AJ34" i="16"/>
  <c r="AV34" i="16" s="1"/>
  <c r="AJ35" i="16"/>
  <c r="AV35" i="16" s="1"/>
  <c r="AJ36" i="16"/>
  <c r="AV36" i="16" s="1"/>
  <c r="AJ37" i="16"/>
  <c r="AV37" i="16" s="1"/>
  <c r="AJ38" i="16"/>
  <c r="AV38" i="16" s="1"/>
  <c r="AJ39" i="16"/>
  <c r="AV39" i="16" s="1"/>
  <c r="AJ40" i="16"/>
  <c r="AV40" i="16" s="1"/>
  <c r="AJ41" i="16"/>
  <c r="AV41" i="16" s="1"/>
  <c r="AJ42" i="16"/>
  <c r="AV42" i="16" s="1"/>
  <c r="AJ43" i="16"/>
  <c r="AV43" i="16" s="1"/>
  <c r="AJ44" i="16"/>
  <c r="AV44" i="16" s="1"/>
  <c r="AJ45" i="16"/>
  <c r="AV45" i="16" s="1"/>
  <c r="AJ46" i="16"/>
  <c r="AV46" i="16" s="1"/>
  <c r="AJ47" i="16"/>
  <c r="AV47" i="16" s="1"/>
  <c r="AJ48" i="16"/>
  <c r="AV48" i="16" s="1"/>
  <c r="AJ49" i="16"/>
  <c r="AV49" i="16" s="1"/>
  <c r="AJ50" i="16"/>
  <c r="AV50" i="16" s="1"/>
  <c r="AJ51" i="16"/>
  <c r="AV51" i="16" s="1"/>
  <c r="AJ52" i="16"/>
  <c r="AV52" i="16" s="1"/>
  <c r="AJ53" i="16"/>
  <c r="AV53" i="16" s="1"/>
  <c r="AJ54" i="16"/>
  <c r="AV54" i="16" s="1"/>
  <c r="AJ55" i="16"/>
  <c r="AV55" i="16" s="1"/>
  <c r="AJ56" i="16"/>
  <c r="AV56" i="16" s="1"/>
  <c r="AJ57" i="16"/>
  <c r="AV57" i="16" s="1"/>
  <c r="AJ58" i="16"/>
  <c r="AV58" i="16" s="1"/>
  <c r="AJ59" i="16"/>
  <c r="AV59" i="16" s="1"/>
  <c r="AJ60" i="16"/>
  <c r="AV60" i="16" s="1"/>
  <c r="AJ61" i="16"/>
  <c r="AV61" i="16" s="1"/>
  <c r="AJ62" i="16"/>
  <c r="AV62" i="16" s="1"/>
  <c r="AJ63" i="16"/>
  <c r="AV63" i="16" s="1"/>
  <c r="AJ64" i="16"/>
  <c r="AV64" i="16" s="1"/>
  <c r="AJ65" i="16"/>
  <c r="AV65" i="16" s="1"/>
  <c r="AJ66" i="16"/>
  <c r="AV66" i="16" s="1"/>
  <c r="AJ67" i="16"/>
  <c r="AV67" i="16" s="1"/>
  <c r="AJ68" i="16"/>
  <c r="AV68" i="16" s="1"/>
  <c r="AJ69" i="16"/>
  <c r="AV69" i="16" s="1"/>
  <c r="AJ70" i="16"/>
  <c r="AV70" i="16" s="1"/>
  <c r="AJ71" i="16"/>
  <c r="AV71" i="16" s="1"/>
  <c r="AJ72" i="16"/>
  <c r="AV72" i="16" s="1"/>
  <c r="AJ73" i="16"/>
  <c r="AV73" i="16" s="1"/>
  <c r="AJ74" i="16"/>
  <c r="AV74" i="16" s="1"/>
  <c r="AJ75" i="16"/>
  <c r="AV75" i="16" s="1"/>
  <c r="AJ76" i="16"/>
  <c r="AV76" i="16" s="1"/>
  <c r="AJ77" i="16"/>
  <c r="AV77" i="16" s="1"/>
  <c r="AJ78" i="16"/>
  <c r="AV78" i="16" s="1"/>
  <c r="AJ79" i="16"/>
  <c r="AV79" i="16" s="1"/>
  <c r="AJ80" i="16"/>
  <c r="AV80" i="16" s="1"/>
  <c r="AJ81" i="16"/>
  <c r="AV81" i="16" s="1"/>
  <c r="AJ82" i="16"/>
  <c r="AV82" i="16" s="1"/>
  <c r="AJ83" i="16"/>
  <c r="AV83" i="16" s="1"/>
  <c r="AJ84" i="16"/>
  <c r="AV84" i="16" s="1"/>
  <c r="AJ85" i="16"/>
  <c r="AV85" i="16" s="1"/>
  <c r="AJ86" i="16"/>
  <c r="AV86" i="16" s="1"/>
  <c r="AJ87" i="16"/>
  <c r="AV87" i="16" s="1"/>
  <c r="AJ88" i="16"/>
  <c r="AV88" i="16" s="1"/>
  <c r="AJ89" i="16"/>
  <c r="AV89" i="16" s="1"/>
  <c r="AI33" i="16"/>
  <c r="AI34" i="16"/>
  <c r="AI35" i="16"/>
  <c r="AI36" i="16"/>
  <c r="AI37" i="16"/>
  <c r="AI38" i="16"/>
  <c r="AI39" i="16"/>
  <c r="AI40" i="16"/>
  <c r="AI41" i="16"/>
  <c r="AI42" i="16"/>
  <c r="AI43" i="16"/>
  <c r="AI44" i="16"/>
  <c r="AI45" i="16"/>
  <c r="AI46" i="16"/>
  <c r="AI47" i="16"/>
  <c r="AI48" i="16"/>
  <c r="AI49" i="16"/>
  <c r="AI50" i="16"/>
  <c r="AI51" i="16"/>
  <c r="AI52" i="16"/>
  <c r="AI53" i="16"/>
  <c r="AI54" i="16"/>
  <c r="AI55" i="16"/>
  <c r="AI56" i="16"/>
  <c r="AI57" i="16"/>
  <c r="AI58" i="16"/>
  <c r="AI59" i="16"/>
  <c r="AI60" i="16"/>
  <c r="AI61" i="16"/>
  <c r="AI62" i="16"/>
  <c r="AI63" i="16"/>
  <c r="AI64" i="16"/>
  <c r="AI65" i="16"/>
  <c r="AI66" i="16"/>
  <c r="AI67" i="16"/>
  <c r="AI68" i="16"/>
  <c r="AI69" i="16"/>
  <c r="AI70" i="16"/>
  <c r="AI71" i="16"/>
  <c r="AI72" i="16"/>
  <c r="AI73" i="16"/>
  <c r="AI74" i="16"/>
  <c r="AI75" i="16"/>
  <c r="AI76" i="16"/>
  <c r="AI77" i="16"/>
  <c r="AI78" i="16"/>
  <c r="AI79" i="16"/>
  <c r="AI80" i="16"/>
  <c r="AI81" i="16"/>
  <c r="AI82" i="16"/>
  <c r="AI83" i="16"/>
  <c r="AI84" i="16"/>
  <c r="AI85" i="16"/>
  <c r="AI86" i="16"/>
  <c r="AI87" i="16"/>
  <c r="AI88" i="16"/>
  <c r="AI89" i="16"/>
  <c r="AE12" i="16"/>
  <c r="AE13" i="16"/>
  <c r="AE14" i="16"/>
  <c r="AE15" i="16"/>
  <c r="AE16" i="16"/>
  <c r="AE17" i="16"/>
  <c r="AE18" i="16"/>
  <c r="AE19" i="16"/>
  <c r="AE20" i="16"/>
  <c r="AE21" i="16"/>
  <c r="AE22" i="16"/>
  <c r="AE23" i="16"/>
  <c r="AE24" i="16"/>
  <c r="AE25" i="16"/>
  <c r="AE26" i="16"/>
  <c r="AE27" i="16"/>
  <c r="AE28" i="16"/>
  <c r="AE29" i="16"/>
  <c r="AE30" i="16"/>
  <c r="AE31" i="16"/>
  <c r="AE32" i="16"/>
  <c r="AE33" i="16"/>
  <c r="AE34" i="16"/>
  <c r="AE35" i="16"/>
  <c r="AE36" i="16"/>
  <c r="AE37" i="16"/>
  <c r="AE38" i="16"/>
  <c r="AE39" i="16"/>
  <c r="AE40" i="16"/>
  <c r="AE41" i="16"/>
  <c r="AE42" i="16"/>
  <c r="AE43" i="16"/>
  <c r="AE44" i="16"/>
  <c r="AE45" i="16"/>
  <c r="AE46" i="16"/>
  <c r="AE47" i="16"/>
  <c r="AE48" i="16"/>
  <c r="AE49" i="16"/>
  <c r="AE50" i="16"/>
  <c r="AE51" i="16"/>
  <c r="AE52" i="16"/>
  <c r="AE53" i="16"/>
  <c r="AE54" i="16"/>
  <c r="AE55" i="16"/>
  <c r="AE56" i="16"/>
  <c r="AE57" i="16"/>
  <c r="AE58" i="16"/>
  <c r="AE59" i="16"/>
  <c r="AE60" i="16"/>
  <c r="AE61" i="16"/>
  <c r="AE62" i="16"/>
  <c r="AE63" i="16"/>
  <c r="AE64" i="16"/>
  <c r="AE65" i="16"/>
  <c r="AE66" i="16"/>
  <c r="AE67" i="16"/>
  <c r="AE68" i="16"/>
  <c r="AE69" i="16"/>
  <c r="AE70" i="16"/>
  <c r="AE71" i="16"/>
  <c r="AE72" i="16"/>
  <c r="AE73" i="16"/>
  <c r="AE74" i="16"/>
  <c r="AE75" i="16"/>
  <c r="AE76" i="16"/>
  <c r="AE77" i="16"/>
  <c r="AE78" i="16"/>
  <c r="AE79" i="16"/>
  <c r="AE80" i="16"/>
  <c r="AE81" i="16"/>
  <c r="AE82" i="16"/>
  <c r="AE83" i="16"/>
  <c r="AE84" i="16"/>
  <c r="AE85" i="16"/>
  <c r="AE86" i="16"/>
  <c r="AE87" i="16"/>
  <c r="AE88" i="16"/>
  <c r="AE89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H8" i="14"/>
  <c r="E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3" i="16"/>
  <c r="C4" i="16"/>
  <c r="C5" i="16"/>
  <c r="C6" i="16"/>
  <c r="C7" i="16"/>
  <c r="C8" i="16"/>
  <c r="C9" i="16"/>
  <c r="C10" i="16"/>
  <c r="C11" i="16"/>
  <c r="C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3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43" i="16"/>
  <c r="A44" i="16"/>
  <c r="A45" i="16"/>
  <c r="A46" i="16"/>
  <c r="A47" i="16"/>
  <c r="A48" i="16"/>
  <c r="A49" i="16"/>
  <c r="A50" i="16"/>
  <c r="A51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4" i="16"/>
  <c r="A5" i="16"/>
  <c r="A6" i="16"/>
  <c r="A7" i="16"/>
  <c r="A8" i="16"/>
  <c r="A9" i="16"/>
  <c r="A10" i="16"/>
  <c r="A11" i="16"/>
  <c r="A3" i="16"/>
  <c r="H15" i="7"/>
  <c r="H11" i="7"/>
  <c r="B13" i="13"/>
  <c r="E209" i="14"/>
  <c r="D209" i="14"/>
  <c r="B209" i="14"/>
  <c r="E208" i="14"/>
  <c r="D208" i="14"/>
  <c r="B208" i="14"/>
  <c r="E207" i="14"/>
  <c r="D207" i="14"/>
  <c r="B207" i="14"/>
  <c r="E206" i="14"/>
  <c r="D206" i="14"/>
  <c r="B206" i="14"/>
  <c r="E205" i="14"/>
  <c r="D205" i="14"/>
  <c r="B205" i="14"/>
  <c r="E204" i="14"/>
  <c r="D204" i="14"/>
  <c r="B204" i="14"/>
  <c r="E203" i="14"/>
  <c r="D203" i="14"/>
  <c r="B203" i="14"/>
  <c r="E202" i="14"/>
  <c r="D202" i="14"/>
  <c r="B202" i="14"/>
  <c r="E201" i="14"/>
  <c r="D201" i="14"/>
  <c r="B201" i="14"/>
  <c r="S52" i="14"/>
  <c r="Q52" i="14"/>
  <c r="O52" i="14"/>
  <c r="M52" i="14"/>
  <c r="K52" i="14"/>
  <c r="I52" i="14"/>
  <c r="G52" i="14"/>
  <c r="E52" i="14"/>
  <c r="C52" i="14"/>
  <c r="S51" i="14"/>
  <c r="Q51" i="14"/>
  <c r="O51" i="14"/>
  <c r="M51" i="14"/>
  <c r="K51" i="14"/>
  <c r="I51" i="14"/>
  <c r="G51" i="14"/>
  <c r="E51" i="14"/>
  <c r="C51" i="14"/>
  <c r="S50" i="14"/>
  <c r="Q50" i="14"/>
  <c r="O50" i="14"/>
  <c r="M50" i="14"/>
  <c r="K50" i="14"/>
  <c r="I50" i="14"/>
  <c r="G50" i="14"/>
  <c r="E50" i="14"/>
  <c r="C50" i="14"/>
  <c r="S49" i="14"/>
  <c r="Q49" i="14"/>
  <c r="O49" i="14"/>
  <c r="M49" i="14"/>
  <c r="K49" i="14"/>
  <c r="I49" i="14"/>
  <c r="G49" i="14"/>
  <c r="E49" i="14"/>
  <c r="C49" i="14"/>
  <c r="S48" i="14"/>
  <c r="Q48" i="14"/>
  <c r="O48" i="14"/>
  <c r="M48" i="14"/>
  <c r="K48" i="14"/>
  <c r="I48" i="14"/>
  <c r="G48" i="14"/>
  <c r="E48" i="14"/>
  <c r="C48" i="14"/>
  <c r="R47" i="14"/>
  <c r="P47" i="14"/>
  <c r="N47" i="14"/>
  <c r="L47" i="14"/>
  <c r="J47" i="14"/>
  <c r="H47" i="14"/>
  <c r="F47" i="14"/>
  <c r="D47" i="14"/>
  <c r="B47" i="14"/>
  <c r="K43" i="14"/>
  <c r="J43" i="14"/>
  <c r="I43" i="14"/>
  <c r="H43" i="14"/>
  <c r="G43" i="14"/>
  <c r="F43" i="14"/>
  <c r="O42" i="14"/>
  <c r="N42" i="14"/>
  <c r="M42" i="14"/>
  <c r="L42" i="14"/>
  <c r="K42" i="14"/>
  <c r="I42" i="14"/>
  <c r="H42" i="14"/>
  <c r="G42" i="14"/>
  <c r="F42" i="14"/>
  <c r="D42" i="14"/>
  <c r="C42" i="14"/>
  <c r="B42" i="14"/>
  <c r="O41" i="14"/>
  <c r="N41" i="14"/>
  <c r="M41" i="14"/>
  <c r="L41" i="14"/>
  <c r="K41" i="14"/>
  <c r="I41" i="14"/>
  <c r="H41" i="14"/>
  <c r="G41" i="14"/>
  <c r="F41" i="14"/>
  <c r="D41" i="14"/>
  <c r="C41" i="14"/>
  <c r="B41" i="14"/>
  <c r="O40" i="14"/>
  <c r="N40" i="14"/>
  <c r="M40" i="14"/>
  <c r="L40" i="14"/>
  <c r="K40" i="14"/>
  <c r="I40" i="14"/>
  <c r="H40" i="14"/>
  <c r="G40" i="14"/>
  <c r="F40" i="14"/>
  <c r="D40" i="14"/>
  <c r="C40" i="14"/>
  <c r="B40" i="14"/>
  <c r="O39" i="14"/>
  <c r="N39" i="14"/>
  <c r="M39" i="14"/>
  <c r="L39" i="14"/>
  <c r="K39" i="14"/>
  <c r="I39" i="14"/>
  <c r="H39" i="14"/>
  <c r="G39" i="14"/>
  <c r="F39" i="14"/>
  <c r="D39" i="14"/>
  <c r="C39" i="14"/>
  <c r="B39" i="14"/>
  <c r="O38" i="14"/>
  <c r="N38" i="14"/>
  <c r="M38" i="14"/>
  <c r="L38" i="14"/>
  <c r="K38" i="14"/>
  <c r="I38" i="14"/>
  <c r="H38" i="14"/>
  <c r="G38" i="14"/>
  <c r="F38" i="14"/>
  <c r="D38" i="14"/>
  <c r="C38" i="14"/>
  <c r="B38" i="14"/>
  <c r="O37" i="14"/>
  <c r="N37" i="14"/>
  <c r="M37" i="14"/>
  <c r="L37" i="14"/>
  <c r="K37" i="14"/>
  <c r="I37" i="14"/>
  <c r="H37" i="14"/>
  <c r="G37" i="14"/>
  <c r="F37" i="14"/>
  <c r="D37" i="14"/>
  <c r="C37" i="14"/>
  <c r="B37" i="14"/>
  <c r="O36" i="14"/>
  <c r="N36" i="14"/>
  <c r="M36" i="14"/>
  <c r="L36" i="14"/>
  <c r="K36" i="14"/>
  <c r="I36" i="14"/>
  <c r="H36" i="14"/>
  <c r="G36" i="14"/>
  <c r="F36" i="14"/>
  <c r="D36" i="14"/>
  <c r="C36" i="14"/>
  <c r="B36" i="14"/>
  <c r="O35" i="14"/>
  <c r="N35" i="14"/>
  <c r="M35" i="14"/>
  <c r="L35" i="14"/>
  <c r="K35" i="14"/>
  <c r="I35" i="14"/>
  <c r="H35" i="14"/>
  <c r="G35" i="14"/>
  <c r="F35" i="14"/>
  <c r="D35" i="14"/>
  <c r="C35" i="14"/>
  <c r="B35" i="14"/>
  <c r="O34" i="14"/>
  <c r="N34" i="14"/>
  <c r="M34" i="14"/>
  <c r="L34" i="14"/>
  <c r="K34" i="14"/>
  <c r="I34" i="14"/>
  <c r="H34" i="14"/>
  <c r="G34" i="14"/>
  <c r="F34" i="14"/>
  <c r="D34" i="14"/>
  <c r="C34" i="14"/>
  <c r="B34" i="14"/>
  <c r="O30" i="14"/>
  <c r="N30" i="14"/>
  <c r="I30" i="14"/>
  <c r="H30" i="14"/>
  <c r="G30" i="14"/>
  <c r="F30" i="14"/>
  <c r="E30" i="14"/>
  <c r="H29" i="14"/>
  <c r="G29" i="14"/>
  <c r="F29" i="14"/>
  <c r="E29" i="14"/>
  <c r="D29" i="14"/>
  <c r="C29" i="14"/>
  <c r="B29" i="14"/>
  <c r="H28" i="14"/>
  <c r="G28" i="14"/>
  <c r="F28" i="14"/>
  <c r="E28" i="14"/>
  <c r="D28" i="14"/>
  <c r="C28" i="14"/>
  <c r="B28" i="14"/>
  <c r="H27" i="14"/>
  <c r="G27" i="14"/>
  <c r="F27" i="14"/>
  <c r="E27" i="14"/>
  <c r="D27" i="14"/>
  <c r="C27" i="14"/>
  <c r="B27" i="14"/>
  <c r="H26" i="14"/>
  <c r="G26" i="14"/>
  <c r="F26" i="14"/>
  <c r="E26" i="14"/>
  <c r="D26" i="14"/>
  <c r="C26" i="14"/>
  <c r="B26" i="14"/>
  <c r="H25" i="14"/>
  <c r="G25" i="14"/>
  <c r="F25" i="14"/>
  <c r="E25" i="14"/>
  <c r="D25" i="14"/>
  <c r="C25" i="14"/>
  <c r="B25" i="14"/>
  <c r="H24" i="14"/>
  <c r="G24" i="14"/>
  <c r="F24" i="14"/>
  <c r="E24" i="14"/>
  <c r="D24" i="14"/>
  <c r="C24" i="14"/>
  <c r="B24" i="14"/>
  <c r="H23" i="14"/>
  <c r="G23" i="14"/>
  <c r="F23" i="14"/>
  <c r="E23" i="14"/>
  <c r="D23" i="14"/>
  <c r="C23" i="14"/>
  <c r="B23" i="14"/>
  <c r="H22" i="14"/>
  <c r="G22" i="14"/>
  <c r="F22" i="14"/>
  <c r="E22" i="14"/>
  <c r="D22" i="14"/>
  <c r="C22" i="14"/>
  <c r="B22" i="14"/>
  <c r="H21" i="14"/>
  <c r="G21" i="14"/>
  <c r="F21" i="14"/>
  <c r="E21" i="14"/>
  <c r="D21" i="14"/>
  <c r="C21" i="14"/>
  <c r="B21" i="14"/>
  <c r="J17" i="14"/>
  <c r="H17" i="14"/>
  <c r="G17" i="14"/>
  <c r="E17" i="14"/>
  <c r="J16" i="14"/>
  <c r="I16" i="14"/>
  <c r="H16" i="14"/>
  <c r="G16" i="14"/>
  <c r="F16" i="14"/>
  <c r="E16" i="14"/>
  <c r="D16" i="14"/>
  <c r="C16" i="14"/>
  <c r="B16" i="14"/>
  <c r="J15" i="14"/>
  <c r="I15" i="14"/>
  <c r="H15" i="14"/>
  <c r="G15" i="14"/>
  <c r="F15" i="14"/>
  <c r="E15" i="14"/>
  <c r="D15" i="14"/>
  <c r="C15" i="14"/>
  <c r="B15" i="14"/>
  <c r="J14" i="14"/>
  <c r="I14" i="14"/>
  <c r="H14" i="14"/>
  <c r="G14" i="14"/>
  <c r="F14" i="14"/>
  <c r="E14" i="14"/>
  <c r="D14" i="14"/>
  <c r="C14" i="14"/>
  <c r="B14" i="14"/>
  <c r="J13" i="14"/>
  <c r="I13" i="14"/>
  <c r="H13" i="14"/>
  <c r="G13" i="14"/>
  <c r="F13" i="14"/>
  <c r="E13" i="14"/>
  <c r="D13" i="14"/>
  <c r="C13" i="14"/>
  <c r="B13" i="14"/>
  <c r="J12" i="14"/>
  <c r="I12" i="14"/>
  <c r="H12" i="14"/>
  <c r="G12" i="14"/>
  <c r="F12" i="14"/>
  <c r="E12" i="14"/>
  <c r="D12" i="14"/>
  <c r="C12" i="14"/>
  <c r="B12" i="14"/>
  <c r="J11" i="14"/>
  <c r="I11" i="14"/>
  <c r="H11" i="14"/>
  <c r="G11" i="14"/>
  <c r="F11" i="14"/>
  <c r="E11" i="14"/>
  <c r="D11" i="14"/>
  <c r="C11" i="14"/>
  <c r="B11" i="14"/>
  <c r="J10" i="14"/>
  <c r="I10" i="14"/>
  <c r="H10" i="14"/>
  <c r="G10" i="14"/>
  <c r="F10" i="14"/>
  <c r="E10" i="14"/>
  <c r="D10" i="14"/>
  <c r="C10" i="14"/>
  <c r="B10" i="14"/>
  <c r="J9" i="14"/>
  <c r="I9" i="14"/>
  <c r="H9" i="14"/>
  <c r="G9" i="14"/>
  <c r="F9" i="14"/>
  <c r="E9" i="14"/>
  <c r="D9" i="14"/>
  <c r="C9" i="14"/>
  <c r="B9" i="14"/>
  <c r="J8" i="14"/>
  <c r="I8" i="14"/>
  <c r="G8" i="14"/>
  <c r="F8" i="14"/>
  <c r="E8" i="14"/>
  <c r="D8" i="14"/>
  <c r="B8" i="14"/>
  <c r="R4" i="14"/>
  <c r="O4" i="14"/>
  <c r="L4" i="14"/>
  <c r="I4" i="14"/>
  <c r="F4" i="14"/>
  <c r="C4" i="14"/>
  <c r="C13" i="12"/>
  <c r="N89" i="10"/>
  <c r="N88" i="10"/>
  <c r="N87" i="10"/>
  <c r="N86" i="10"/>
  <c r="N85" i="10"/>
  <c r="N84" i="10"/>
  <c r="N83" i="10"/>
  <c r="N82" i="10"/>
  <c r="N81" i="10"/>
  <c r="O62" i="10"/>
  <c r="P62" i="10" s="1"/>
  <c r="K28" i="10"/>
  <c r="F15" i="10"/>
  <c r="G15" i="10" s="1"/>
  <c r="H9" i="10"/>
  <c r="G9" i="10"/>
  <c r="F9" i="10"/>
  <c r="E2" i="10"/>
  <c r="G37" i="8"/>
  <c r="AO32" i="16" s="1"/>
  <c r="AW32" i="16" s="1"/>
  <c r="E37" i="8"/>
  <c r="G36" i="8"/>
  <c r="AO31" i="16" s="1"/>
  <c r="AW31" i="16" s="1"/>
  <c r="E36" i="8"/>
  <c r="G35" i="8"/>
  <c r="AO30" i="16" s="1"/>
  <c r="AW30" i="16" s="1"/>
  <c r="E35" i="8"/>
  <c r="G34" i="8"/>
  <c r="AO29" i="16" s="1"/>
  <c r="AW29" i="16" s="1"/>
  <c r="E34" i="8"/>
  <c r="G33" i="8"/>
  <c r="AO28" i="16" s="1"/>
  <c r="AW28" i="16" s="1"/>
  <c r="E33" i="8"/>
  <c r="G32" i="8"/>
  <c r="AO27" i="16" s="1"/>
  <c r="AW27" i="16" s="1"/>
  <c r="E32" i="8"/>
  <c r="G31" i="8"/>
  <c r="AO26" i="16" s="1"/>
  <c r="AW26" i="16" s="1"/>
  <c r="E31" i="8"/>
  <c r="G30" i="8"/>
  <c r="AO25" i="16" s="1"/>
  <c r="AW25" i="16" s="1"/>
  <c r="E30" i="8"/>
  <c r="G29" i="8"/>
  <c r="AO24" i="16" s="1"/>
  <c r="AW24" i="16" s="1"/>
  <c r="E29" i="8"/>
  <c r="G28" i="8"/>
  <c r="AO23" i="16" s="1"/>
  <c r="AW23" i="16" s="1"/>
  <c r="E28" i="8"/>
  <c r="G27" i="8"/>
  <c r="AO22" i="16" s="1"/>
  <c r="AW22" i="16" s="1"/>
  <c r="E27" i="8"/>
  <c r="G26" i="8"/>
  <c r="AO21" i="16" s="1"/>
  <c r="AW21" i="16" s="1"/>
  <c r="E26" i="8"/>
  <c r="G25" i="8"/>
  <c r="AO20" i="16" s="1"/>
  <c r="AW20" i="16" s="1"/>
  <c r="E25" i="8"/>
  <c r="G24" i="8"/>
  <c r="AO19" i="16" s="1"/>
  <c r="AW19" i="16" s="1"/>
  <c r="E24" i="8"/>
  <c r="G23" i="8"/>
  <c r="AO18" i="16" s="1"/>
  <c r="AW18" i="16" s="1"/>
  <c r="E23" i="8"/>
  <c r="G22" i="8"/>
  <c r="AO17" i="16" s="1"/>
  <c r="AW17" i="16" s="1"/>
  <c r="E22" i="8"/>
  <c r="G21" i="8"/>
  <c r="AO16" i="16" s="1"/>
  <c r="AW16" i="16" s="1"/>
  <c r="E21" i="8"/>
  <c r="G20" i="8"/>
  <c r="AO15" i="16" s="1"/>
  <c r="AW15" i="16" s="1"/>
  <c r="E20" i="8"/>
  <c r="G19" i="8"/>
  <c r="AO14" i="16" s="1"/>
  <c r="AW14" i="16" s="1"/>
  <c r="E19" i="8"/>
  <c r="G18" i="8"/>
  <c r="AO13" i="16" s="1"/>
  <c r="AW13" i="16" s="1"/>
  <c r="E18" i="8"/>
  <c r="G17" i="8"/>
  <c r="AO12" i="16" s="1"/>
  <c r="AW12" i="16" s="1"/>
  <c r="E17" i="8"/>
  <c r="G16" i="8"/>
  <c r="AO11" i="16" s="1"/>
  <c r="AW11" i="16" s="1"/>
  <c r="E16" i="8"/>
  <c r="G15" i="8"/>
  <c r="AO10" i="16" s="1"/>
  <c r="AW10" i="16" s="1"/>
  <c r="E15" i="8"/>
  <c r="G14" i="8"/>
  <c r="AO9" i="16" s="1"/>
  <c r="AW9" i="16" s="1"/>
  <c r="E14" i="8"/>
  <c r="G13" i="8"/>
  <c r="AO8" i="16" s="1"/>
  <c r="AW8" i="16" s="1"/>
  <c r="E13" i="8"/>
  <c r="AO7" i="16"/>
  <c r="AW7" i="16" s="1"/>
  <c r="E12" i="8"/>
  <c r="G11" i="8"/>
  <c r="AO6" i="16" s="1"/>
  <c r="AW6" i="16" s="1"/>
  <c r="E11" i="8"/>
  <c r="AO5" i="16"/>
  <c r="AW5" i="16" s="1"/>
  <c r="E10" i="8"/>
  <c r="AO4" i="16"/>
  <c r="AW4" i="16" s="1"/>
  <c r="E9" i="8"/>
  <c r="AO3" i="16"/>
  <c r="E8" i="8"/>
  <c r="G36" i="7"/>
  <c r="F36" i="7"/>
  <c r="E36" i="7"/>
  <c r="G35" i="7"/>
  <c r="F35" i="7"/>
  <c r="E35" i="7"/>
  <c r="G34" i="7"/>
  <c r="F34" i="7"/>
  <c r="E34" i="7"/>
  <c r="G33" i="7"/>
  <c r="F33" i="7"/>
  <c r="E33" i="7"/>
  <c r="G32" i="7"/>
  <c r="F32" i="7"/>
  <c r="E32" i="7"/>
  <c r="G31" i="7"/>
  <c r="F31" i="7"/>
  <c r="E31" i="7"/>
  <c r="G30" i="7"/>
  <c r="F30" i="7"/>
  <c r="E30" i="7"/>
  <c r="G29" i="7"/>
  <c r="F29" i="7"/>
  <c r="E29" i="7"/>
  <c r="G28" i="7"/>
  <c r="F28" i="7"/>
  <c r="E28" i="7"/>
  <c r="G27" i="7"/>
  <c r="F27" i="7"/>
  <c r="E27" i="7"/>
  <c r="G26" i="7"/>
  <c r="F26" i="7"/>
  <c r="E26" i="7"/>
  <c r="G25" i="7"/>
  <c r="F25" i="7"/>
  <c r="E25" i="7"/>
  <c r="G24" i="7"/>
  <c r="F24" i="7"/>
  <c r="E24" i="7"/>
  <c r="G23" i="7"/>
  <c r="F23" i="7"/>
  <c r="E23" i="7"/>
  <c r="G22" i="7"/>
  <c r="F22" i="7"/>
  <c r="E22" i="7"/>
  <c r="G21" i="7"/>
  <c r="F21" i="7"/>
  <c r="E21" i="7"/>
  <c r="G20" i="7"/>
  <c r="F20" i="7"/>
  <c r="E20" i="7"/>
  <c r="G19" i="7"/>
  <c r="F19" i="7"/>
  <c r="E19" i="7"/>
  <c r="G18" i="7"/>
  <c r="F18" i="7"/>
  <c r="E18" i="7"/>
  <c r="G17" i="7"/>
  <c r="F17" i="7"/>
  <c r="E17" i="7"/>
  <c r="G16" i="7"/>
  <c r="F16" i="7"/>
  <c r="E16" i="7"/>
  <c r="G15" i="7"/>
  <c r="F15" i="7"/>
  <c r="E15" i="7"/>
  <c r="G14" i="7"/>
  <c r="F14" i="7"/>
  <c r="E14" i="7"/>
  <c r="G13" i="7"/>
  <c r="F13" i="7"/>
  <c r="E13" i="7"/>
  <c r="G12" i="7"/>
  <c r="F12" i="7"/>
  <c r="E12" i="7"/>
  <c r="G11" i="7"/>
  <c r="F11" i="7"/>
  <c r="E11" i="7"/>
  <c r="G10" i="7"/>
  <c r="F10" i="7"/>
  <c r="E10" i="7"/>
  <c r="G9" i="7"/>
  <c r="F9" i="7"/>
  <c r="E9" i="7"/>
  <c r="G8" i="7"/>
  <c r="F8" i="7"/>
  <c r="E8" i="7"/>
  <c r="E7" i="7"/>
  <c r="G44" i="6"/>
  <c r="I32" i="5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J9" i="7" l="1"/>
  <c r="J7" i="7"/>
  <c r="J8" i="7"/>
  <c r="AN33" i="16"/>
  <c r="AN69" i="16"/>
  <c r="F11" i="6"/>
  <c r="F12" i="6" s="1"/>
  <c r="AW3" i="16"/>
  <c r="T33" i="13"/>
  <c r="C90" i="16"/>
  <c r="AG12" i="16"/>
  <c r="AH12" i="16" s="1"/>
  <c r="AF12" i="16"/>
  <c r="AG13" i="16"/>
  <c r="AH13" i="16" s="1"/>
  <c r="AF13" i="16"/>
  <c r="AG14" i="16"/>
  <c r="AH14" i="16" s="1"/>
  <c r="AF14" i="16"/>
  <c r="AG15" i="16"/>
  <c r="AH15" i="16" s="1"/>
  <c r="AF15" i="16"/>
  <c r="AG16" i="16"/>
  <c r="AH16" i="16" s="1"/>
  <c r="AF16" i="16"/>
  <c r="AG17" i="16"/>
  <c r="AH17" i="16" s="1"/>
  <c r="AF17" i="16"/>
  <c r="AG18" i="16"/>
  <c r="AH18" i="16" s="1"/>
  <c r="AF18" i="16"/>
  <c r="AG19" i="16"/>
  <c r="AH19" i="16" s="1"/>
  <c r="AF19" i="16"/>
  <c r="AG20" i="16"/>
  <c r="AH20" i="16" s="1"/>
  <c r="AF20" i="16"/>
  <c r="AG21" i="16"/>
  <c r="AH21" i="16" s="1"/>
  <c r="AF21" i="16"/>
  <c r="AG22" i="16"/>
  <c r="AH22" i="16" s="1"/>
  <c r="AF22" i="16"/>
  <c r="AG23" i="16"/>
  <c r="AH23" i="16" s="1"/>
  <c r="AF23" i="16"/>
  <c r="AG24" i="16"/>
  <c r="AH24" i="16" s="1"/>
  <c r="AF24" i="16"/>
  <c r="AG25" i="16"/>
  <c r="AH25" i="16" s="1"/>
  <c r="AF25" i="16"/>
  <c r="AG26" i="16"/>
  <c r="AH26" i="16" s="1"/>
  <c r="AF26" i="16"/>
  <c r="AG27" i="16"/>
  <c r="AH27" i="16" s="1"/>
  <c r="AF27" i="16"/>
  <c r="AG28" i="16"/>
  <c r="AH28" i="16" s="1"/>
  <c r="AF28" i="16"/>
  <c r="AG29" i="16"/>
  <c r="AH29" i="16" s="1"/>
  <c r="AF29" i="16"/>
  <c r="AG30" i="16"/>
  <c r="AH30" i="16" s="1"/>
  <c r="AF30" i="16"/>
  <c r="AG31" i="16"/>
  <c r="AH31" i="16" s="1"/>
  <c r="AF31" i="16"/>
  <c r="AG32" i="16"/>
  <c r="AH32" i="16" s="1"/>
  <c r="AF32" i="16"/>
  <c r="AG33" i="16"/>
  <c r="AH33" i="16" s="1"/>
  <c r="AF33" i="16"/>
  <c r="AG34" i="16"/>
  <c r="AH34" i="16" s="1"/>
  <c r="AF34" i="16"/>
  <c r="AG35" i="16"/>
  <c r="AH35" i="16" s="1"/>
  <c r="AF35" i="16"/>
  <c r="AG36" i="16"/>
  <c r="AH36" i="16" s="1"/>
  <c r="AF36" i="16"/>
  <c r="AG37" i="16"/>
  <c r="AH37" i="16" s="1"/>
  <c r="AF37" i="16"/>
  <c r="AG38" i="16"/>
  <c r="AH38" i="16" s="1"/>
  <c r="AF38" i="16"/>
  <c r="AG39" i="16"/>
  <c r="AH39" i="16" s="1"/>
  <c r="AF39" i="16"/>
  <c r="AG40" i="16"/>
  <c r="AH40" i="16" s="1"/>
  <c r="AF40" i="16"/>
  <c r="AG41" i="16"/>
  <c r="AH41" i="16" s="1"/>
  <c r="AF41" i="16"/>
  <c r="AG42" i="16"/>
  <c r="AH42" i="16" s="1"/>
  <c r="AF42" i="16"/>
  <c r="AG43" i="16"/>
  <c r="AH43" i="16" s="1"/>
  <c r="AF43" i="16"/>
  <c r="AG44" i="16"/>
  <c r="AH44" i="16" s="1"/>
  <c r="AF44" i="16"/>
  <c r="AG45" i="16"/>
  <c r="AH45" i="16" s="1"/>
  <c r="AF45" i="16"/>
  <c r="AG46" i="16"/>
  <c r="AH46" i="16" s="1"/>
  <c r="AF46" i="16"/>
  <c r="AG47" i="16"/>
  <c r="AH47" i="16" s="1"/>
  <c r="AF47" i="16"/>
  <c r="AG48" i="16"/>
  <c r="AH48" i="16" s="1"/>
  <c r="AF48" i="16"/>
  <c r="AG49" i="16"/>
  <c r="AH49" i="16" s="1"/>
  <c r="AF49" i="16"/>
  <c r="AG50" i="16"/>
  <c r="AH50" i="16" s="1"/>
  <c r="AF50" i="16"/>
  <c r="AG51" i="16"/>
  <c r="AH51" i="16" s="1"/>
  <c r="AF51" i="16"/>
  <c r="AG52" i="16"/>
  <c r="AH52" i="16" s="1"/>
  <c r="AF52" i="16"/>
  <c r="AG53" i="16"/>
  <c r="AH53" i="16" s="1"/>
  <c r="AF53" i="16"/>
  <c r="AG54" i="16"/>
  <c r="AH54" i="16" s="1"/>
  <c r="AF54" i="16"/>
  <c r="AG55" i="16"/>
  <c r="AH55" i="16" s="1"/>
  <c r="AF55" i="16"/>
  <c r="AG56" i="16"/>
  <c r="AH56" i="16" s="1"/>
  <c r="AF56" i="16"/>
  <c r="AG57" i="16"/>
  <c r="AH57" i="16" s="1"/>
  <c r="AF57" i="16"/>
  <c r="AG58" i="16"/>
  <c r="AH58" i="16" s="1"/>
  <c r="AF58" i="16"/>
  <c r="AG59" i="16"/>
  <c r="AH59" i="16" s="1"/>
  <c r="AF59" i="16"/>
  <c r="AG60" i="16"/>
  <c r="AH60" i="16" s="1"/>
  <c r="AF60" i="16"/>
  <c r="AG61" i="16"/>
  <c r="AH61" i="16" s="1"/>
  <c r="AF61" i="16"/>
  <c r="AG62" i="16"/>
  <c r="AH62" i="16" s="1"/>
  <c r="AF62" i="16"/>
  <c r="AG63" i="16"/>
  <c r="AH63" i="16" s="1"/>
  <c r="AF63" i="16"/>
  <c r="AG64" i="16"/>
  <c r="AH64" i="16" s="1"/>
  <c r="AF64" i="16"/>
  <c r="AG65" i="16"/>
  <c r="AH65" i="16" s="1"/>
  <c r="AF65" i="16"/>
  <c r="AG66" i="16"/>
  <c r="AH66" i="16" s="1"/>
  <c r="AF66" i="16"/>
  <c r="AG67" i="16"/>
  <c r="AH67" i="16" s="1"/>
  <c r="AF67" i="16"/>
  <c r="AG68" i="16"/>
  <c r="AH68" i="16" s="1"/>
  <c r="AF68" i="16"/>
  <c r="AG69" i="16"/>
  <c r="AH69" i="16" s="1"/>
  <c r="AF69" i="16"/>
  <c r="AG70" i="16"/>
  <c r="AH70" i="16" s="1"/>
  <c r="AF70" i="16"/>
  <c r="AG71" i="16"/>
  <c r="AH71" i="16" s="1"/>
  <c r="AF71" i="16"/>
  <c r="AG72" i="16"/>
  <c r="AH72" i="16" s="1"/>
  <c r="AF72" i="16"/>
  <c r="AG73" i="16"/>
  <c r="AH73" i="16" s="1"/>
  <c r="AF73" i="16"/>
  <c r="AG74" i="16"/>
  <c r="AH74" i="16" s="1"/>
  <c r="AF74" i="16"/>
  <c r="AG75" i="16"/>
  <c r="AH75" i="16" s="1"/>
  <c r="AF75" i="16"/>
  <c r="AG76" i="16"/>
  <c r="AH76" i="16" s="1"/>
  <c r="AF76" i="16"/>
  <c r="AG77" i="16"/>
  <c r="AH77" i="16" s="1"/>
  <c r="AF77" i="16"/>
  <c r="AG78" i="16"/>
  <c r="AH78" i="16" s="1"/>
  <c r="AF78" i="16"/>
  <c r="AG79" i="16"/>
  <c r="AH79" i="16" s="1"/>
  <c r="AF79" i="16"/>
  <c r="AG80" i="16"/>
  <c r="AH80" i="16" s="1"/>
  <c r="AF80" i="16"/>
  <c r="AG81" i="16"/>
  <c r="AH81" i="16" s="1"/>
  <c r="AF81" i="16"/>
  <c r="AG82" i="16"/>
  <c r="AH82" i="16" s="1"/>
  <c r="AF82" i="16"/>
  <c r="AG83" i="16"/>
  <c r="AH83" i="16" s="1"/>
  <c r="AF83" i="16"/>
  <c r="AG84" i="16"/>
  <c r="AH84" i="16" s="1"/>
  <c r="AF84" i="16"/>
  <c r="AG85" i="16"/>
  <c r="AH85" i="16" s="1"/>
  <c r="AF85" i="16"/>
  <c r="AG86" i="16"/>
  <c r="AH86" i="16" s="1"/>
  <c r="AF86" i="16"/>
  <c r="AG87" i="16"/>
  <c r="AH87" i="16" s="1"/>
  <c r="AF87" i="16"/>
  <c r="AG88" i="16"/>
  <c r="AH88" i="16" s="1"/>
  <c r="AF88" i="16"/>
  <c r="AG89" i="16"/>
  <c r="AH89" i="16" s="1"/>
  <c r="AF89" i="16"/>
  <c r="AO90" i="16"/>
  <c r="H3" i="16"/>
  <c r="G90" i="16"/>
  <c r="D90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AW56" i="16"/>
  <c r="Q22" i="13"/>
  <c r="M22" i="13"/>
  <c r="H22" i="13"/>
  <c r="K22" i="13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O89" i="10"/>
  <c r="O88" i="10"/>
  <c r="H14" i="7"/>
  <c r="H13" i="7"/>
  <c r="O87" i="10"/>
  <c r="H12" i="7"/>
  <c r="O86" i="10"/>
  <c r="O85" i="10"/>
  <c r="H10" i="7"/>
  <c r="O84" i="10"/>
  <c r="O83" i="10"/>
  <c r="H9" i="7"/>
  <c r="H8" i="7"/>
  <c r="O82" i="10"/>
  <c r="P42" i="14"/>
  <c r="Q42" i="14"/>
  <c r="S42" i="14"/>
  <c r="J42" i="14"/>
  <c r="R42" i="14"/>
  <c r="E42" i="14"/>
  <c r="P41" i="14"/>
  <c r="Q41" i="14"/>
  <c r="S41" i="14"/>
  <c r="J41" i="14"/>
  <c r="R41" i="14"/>
  <c r="E41" i="14"/>
  <c r="P40" i="14"/>
  <c r="Q40" i="14"/>
  <c r="S40" i="14"/>
  <c r="J40" i="14"/>
  <c r="R40" i="14"/>
  <c r="E40" i="14"/>
  <c r="P39" i="14"/>
  <c r="Q39" i="14"/>
  <c r="S39" i="14"/>
  <c r="J39" i="14"/>
  <c r="R39" i="14"/>
  <c r="E39" i="14"/>
  <c r="P38" i="14"/>
  <c r="Q38" i="14"/>
  <c r="S38" i="14"/>
  <c r="J38" i="14"/>
  <c r="R38" i="14"/>
  <c r="E38" i="14"/>
  <c r="P37" i="14"/>
  <c r="Q37" i="14"/>
  <c r="S37" i="14"/>
  <c r="J37" i="14"/>
  <c r="R37" i="14"/>
  <c r="E37" i="14"/>
  <c r="P36" i="14"/>
  <c r="Q36" i="14"/>
  <c r="S36" i="14"/>
  <c r="J36" i="14"/>
  <c r="R36" i="14"/>
  <c r="E36" i="14"/>
  <c r="P35" i="14"/>
  <c r="Q35" i="14"/>
  <c r="S35" i="14"/>
  <c r="J35" i="14"/>
  <c r="R35" i="14"/>
  <c r="E35" i="14"/>
  <c r="N43" i="14"/>
  <c r="P34" i="14"/>
  <c r="Q34" i="14"/>
  <c r="S34" i="14"/>
  <c r="J34" i="14"/>
  <c r="R34" i="14"/>
  <c r="E34" i="14"/>
  <c r="M29" i="14"/>
  <c r="L29" i="14"/>
  <c r="K29" i="14"/>
  <c r="N29" i="14"/>
  <c r="I29" i="14"/>
  <c r="J29" i="14"/>
  <c r="M28" i="14"/>
  <c r="L28" i="14"/>
  <c r="K28" i="14"/>
  <c r="I28" i="14"/>
  <c r="J28" i="14"/>
  <c r="N28" i="14"/>
  <c r="M27" i="14"/>
  <c r="L27" i="14"/>
  <c r="K27" i="14"/>
  <c r="N27" i="14"/>
  <c r="J27" i="14"/>
  <c r="I27" i="14"/>
  <c r="M26" i="14"/>
  <c r="L26" i="14"/>
  <c r="K26" i="14"/>
  <c r="N26" i="14"/>
  <c r="J26" i="14"/>
  <c r="I26" i="14"/>
  <c r="M25" i="14"/>
  <c r="L25" i="14"/>
  <c r="K25" i="14"/>
  <c r="N25" i="14"/>
  <c r="J25" i="14"/>
  <c r="I25" i="14"/>
  <c r="M24" i="14"/>
  <c r="L24" i="14"/>
  <c r="K24" i="14"/>
  <c r="N24" i="14"/>
  <c r="J24" i="14"/>
  <c r="I24" i="14"/>
  <c r="M23" i="14"/>
  <c r="L23" i="14"/>
  <c r="K23" i="14"/>
  <c r="N23" i="14"/>
  <c r="J23" i="14"/>
  <c r="I23" i="14"/>
  <c r="M22" i="14"/>
  <c r="L22" i="14"/>
  <c r="K22" i="14"/>
  <c r="J22" i="14"/>
  <c r="I22" i="14"/>
  <c r="N22" i="14"/>
  <c r="M21" i="14"/>
  <c r="L21" i="14"/>
  <c r="K21" i="14"/>
  <c r="N21" i="14"/>
  <c r="I21" i="14"/>
  <c r="J21" i="14"/>
  <c r="O81" i="10"/>
  <c r="I35" i="4"/>
  <c r="H90" i="16" l="1"/>
  <c r="T22" i="13"/>
  <c r="AW90" i="16"/>
  <c r="E33" i="16"/>
  <c r="E90" i="16" s="1"/>
  <c r="C209" i="14"/>
  <c r="C208" i="14"/>
  <c r="C207" i="14"/>
  <c r="C206" i="14"/>
  <c r="C205" i="14"/>
  <c r="C204" i="14"/>
  <c r="C203" i="14"/>
  <c r="C202" i="14"/>
  <c r="P43" i="14"/>
  <c r="C201" i="14"/>
  <c r="Q43" i="14"/>
  <c r="R43" i="14"/>
  <c r="O29" i="14"/>
  <c r="O28" i="14"/>
  <c r="O27" i="14"/>
  <c r="O26" i="14"/>
  <c r="O25" i="14"/>
  <c r="O24" i="14"/>
  <c r="O23" i="14"/>
  <c r="O22" i="14"/>
  <c r="O21" i="14"/>
  <c r="F6" i="6"/>
  <c r="L28" i="10"/>
  <c r="F3" i="16" l="1"/>
  <c r="F8" i="6"/>
  <c r="F83" i="16"/>
  <c r="F84" i="16"/>
  <c r="F85" i="16"/>
  <c r="F86" i="16"/>
  <c r="F87" i="16"/>
  <c r="F88" i="16"/>
  <c r="F89" i="16"/>
  <c r="F4" i="16"/>
  <c r="F5" i="16"/>
  <c r="F6" i="16"/>
  <c r="O22" i="13" s="1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G43" i="6"/>
  <c r="F14" i="10"/>
  <c r="G14" i="10" s="1"/>
  <c r="O61" i="10"/>
  <c r="P61" i="10" s="1"/>
  <c r="I31" i="5" l="1"/>
  <c r="O65" i="10"/>
  <c r="P65" i="10" s="1"/>
  <c r="G45" i="6"/>
  <c r="F16" i="10"/>
  <c r="G16" i="10" s="1"/>
  <c r="O63" i="10"/>
  <c r="P63" i="10" s="1"/>
  <c r="F17" i="6" l="1"/>
  <c r="C15" i="9"/>
  <c r="F55" i="10"/>
  <c r="G55" i="10" s="1"/>
  <c r="O96" i="10"/>
  <c r="I9" i="10"/>
  <c r="F5" i="10"/>
  <c r="F25" i="6"/>
  <c r="C11" i="9"/>
  <c r="F54" i="10"/>
  <c r="G54" i="10" s="1"/>
  <c r="O75" i="10"/>
  <c r="O95" i="10"/>
  <c r="F18" i="6" l="1"/>
  <c r="F19" i="6"/>
  <c r="I3" i="16"/>
  <c r="AE10" i="16"/>
  <c r="AE8" i="16"/>
  <c r="AE5" i="16"/>
  <c r="AE9" i="16"/>
  <c r="AE4" i="16"/>
  <c r="F20" i="10"/>
  <c r="G20" i="10" s="1"/>
  <c r="AK5" i="16"/>
  <c r="AK6" i="16"/>
  <c r="AK9" i="16"/>
  <c r="AK10" i="16"/>
  <c r="AK3" i="16"/>
  <c r="I4" i="16"/>
  <c r="I7" i="16"/>
  <c r="J7" i="16" s="1"/>
  <c r="I10" i="16"/>
  <c r="J10" i="16" s="1"/>
  <c r="I13" i="16"/>
  <c r="J13" i="16" s="1"/>
  <c r="I16" i="16"/>
  <c r="J16" i="16" s="1"/>
  <c r="I19" i="16"/>
  <c r="J19" i="16" s="1"/>
  <c r="I22" i="16"/>
  <c r="J22" i="16" s="1"/>
  <c r="I25" i="16"/>
  <c r="J25" i="16" s="1"/>
  <c r="I28" i="16"/>
  <c r="J28" i="16" s="1"/>
  <c r="I30" i="16"/>
  <c r="J30" i="16" s="1"/>
  <c r="I32" i="16"/>
  <c r="J32" i="16" s="1"/>
  <c r="I35" i="16"/>
  <c r="J35" i="16" s="1"/>
  <c r="I37" i="16"/>
  <c r="J37" i="16" s="1"/>
  <c r="I38" i="16"/>
  <c r="J38" i="16" s="1"/>
  <c r="I40" i="16"/>
  <c r="J40" i="16" s="1"/>
  <c r="I42" i="16"/>
  <c r="J42" i="16" s="1"/>
  <c r="I44" i="16"/>
  <c r="J44" i="16" s="1"/>
  <c r="I46" i="16"/>
  <c r="J46" i="16" s="1"/>
  <c r="I49" i="16"/>
  <c r="J49" i="16" s="1"/>
  <c r="I52" i="16"/>
  <c r="J52" i="16" s="1"/>
  <c r="I54" i="16"/>
  <c r="J54" i="16" s="1"/>
  <c r="I6" i="16"/>
  <c r="I9" i="16"/>
  <c r="J9" i="16" s="1"/>
  <c r="I12" i="16"/>
  <c r="J12" i="16" s="1"/>
  <c r="I15" i="16"/>
  <c r="J15" i="16" s="1"/>
  <c r="I18" i="16"/>
  <c r="J18" i="16" s="1"/>
  <c r="I21" i="16"/>
  <c r="J21" i="16" s="1"/>
  <c r="I24" i="16"/>
  <c r="J24" i="16" s="1"/>
  <c r="I27" i="16"/>
  <c r="J27" i="16" s="1"/>
  <c r="I31" i="16"/>
  <c r="J31" i="16" s="1"/>
  <c r="I34" i="16"/>
  <c r="J34" i="16" s="1"/>
  <c r="I36" i="16"/>
  <c r="J36" i="16" s="1"/>
  <c r="I39" i="16"/>
  <c r="J39" i="16" s="1"/>
  <c r="I41" i="16"/>
  <c r="J41" i="16" s="1"/>
  <c r="I43" i="16"/>
  <c r="J43" i="16" s="1"/>
  <c r="I45" i="16"/>
  <c r="J45" i="16" s="1"/>
  <c r="I48" i="16"/>
  <c r="J48" i="16" s="1"/>
  <c r="I51" i="16"/>
  <c r="J51" i="16" s="1"/>
  <c r="I55" i="16"/>
  <c r="J55" i="16" s="1"/>
  <c r="I56" i="16"/>
  <c r="J56" i="16" s="1"/>
  <c r="I57" i="16"/>
  <c r="J57" i="16" s="1"/>
  <c r="I58" i="16"/>
  <c r="J58" i="16" s="1"/>
  <c r="I59" i="16"/>
  <c r="J59" i="16" s="1"/>
  <c r="I60" i="16"/>
  <c r="J60" i="16" s="1"/>
  <c r="I61" i="16"/>
  <c r="J61" i="16" s="1"/>
  <c r="I62" i="16"/>
  <c r="J62" i="16" s="1"/>
  <c r="I63" i="16"/>
  <c r="J63" i="16" s="1"/>
  <c r="I64" i="16"/>
  <c r="J64" i="16" s="1"/>
  <c r="I65" i="16"/>
  <c r="J65" i="16" s="1"/>
  <c r="I66" i="16"/>
  <c r="J66" i="16" s="1"/>
  <c r="I67" i="16"/>
  <c r="J67" i="16" s="1"/>
  <c r="I68" i="16"/>
  <c r="J68" i="16" s="1"/>
  <c r="I69" i="16"/>
  <c r="J69" i="16" s="1"/>
  <c r="I70" i="16"/>
  <c r="J70" i="16" s="1"/>
  <c r="I71" i="16"/>
  <c r="J71" i="16" s="1"/>
  <c r="I72" i="16"/>
  <c r="J72" i="16" s="1"/>
  <c r="I73" i="16"/>
  <c r="J73" i="16" s="1"/>
  <c r="I74" i="16"/>
  <c r="J74" i="16" s="1"/>
  <c r="I75" i="16"/>
  <c r="J75" i="16" s="1"/>
  <c r="I76" i="16"/>
  <c r="J76" i="16" s="1"/>
  <c r="I77" i="16"/>
  <c r="J77" i="16" s="1"/>
  <c r="I78" i="16"/>
  <c r="J78" i="16" s="1"/>
  <c r="I79" i="16"/>
  <c r="J79" i="16" s="1"/>
  <c r="I80" i="16"/>
  <c r="J80" i="16" s="1"/>
  <c r="I81" i="16"/>
  <c r="J81" i="16" s="1"/>
  <c r="I82" i="16"/>
  <c r="J82" i="16" s="1"/>
  <c r="I83" i="16"/>
  <c r="J83" i="16" s="1"/>
  <c r="I84" i="16"/>
  <c r="J84" i="16" s="1"/>
  <c r="I85" i="16"/>
  <c r="J85" i="16" s="1"/>
  <c r="I86" i="16"/>
  <c r="J86" i="16" s="1"/>
  <c r="I87" i="16"/>
  <c r="J87" i="16" s="1"/>
  <c r="I88" i="16"/>
  <c r="J88" i="16" s="1"/>
  <c r="I89" i="16"/>
  <c r="J89" i="16" s="1"/>
  <c r="AK4" i="16"/>
  <c r="AK7" i="16"/>
  <c r="AK8" i="16"/>
  <c r="AK11" i="16"/>
  <c r="I5" i="16"/>
  <c r="J5" i="16" s="1"/>
  <c r="I8" i="16"/>
  <c r="J8" i="16" s="1"/>
  <c r="I11" i="16"/>
  <c r="J11" i="16" s="1"/>
  <c r="I14" i="16"/>
  <c r="J14" i="16" s="1"/>
  <c r="I17" i="16"/>
  <c r="J17" i="16" s="1"/>
  <c r="I20" i="16"/>
  <c r="J20" i="16" s="1"/>
  <c r="I23" i="16"/>
  <c r="J23" i="16" s="1"/>
  <c r="I26" i="16"/>
  <c r="J26" i="16" s="1"/>
  <c r="I29" i="16"/>
  <c r="J29" i="16" s="1"/>
  <c r="I33" i="16"/>
  <c r="J33" i="16" s="1"/>
  <c r="I47" i="16"/>
  <c r="J47" i="16" s="1"/>
  <c r="I50" i="16"/>
  <c r="J50" i="16" s="1"/>
  <c r="I53" i="16"/>
  <c r="J53" i="16" s="1"/>
  <c r="F24" i="6"/>
  <c r="G36" i="6"/>
  <c r="G5" i="10"/>
  <c r="F17" i="10"/>
  <c r="G17" i="10" s="1"/>
  <c r="F50" i="10"/>
  <c r="G50" i="10" s="1"/>
  <c r="O64" i="10"/>
  <c r="P64" i="10" s="1"/>
  <c r="O71" i="10"/>
  <c r="O91" i="10"/>
  <c r="O101" i="10"/>
  <c r="J10" i="7" l="1"/>
  <c r="H5" i="8"/>
  <c r="H6" i="8" s="1"/>
  <c r="AE3" i="16"/>
  <c r="J3" i="16"/>
  <c r="S3" i="16"/>
  <c r="T3" i="16" s="1"/>
  <c r="AE11" i="16"/>
  <c r="AE7" i="16"/>
  <c r="AE6" i="16"/>
  <c r="K7" i="7"/>
  <c r="K5" i="4" s="1"/>
  <c r="AK90" i="16"/>
  <c r="AG11" i="16"/>
  <c r="AF11" i="16"/>
  <c r="AG7" i="16"/>
  <c r="AF7" i="16"/>
  <c r="AG10" i="16"/>
  <c r="AH10" i="16" s="1"/>
  <c r="AF10" i="16"/>
  <c r="AG8" i="16"/>
  <c r="AH8" i="16" s="1"/>
  <c r="AF8" i="16"/>
  <c r="AG5" i="16"/>
  <c r="AH5" i="16" s="1"/>
  <c r="AF5" i="16"/>
  <c r="AG9" i="16"/>
  <c r="AH9" i="16" s="1"/>
  <c r="AF9" i="16"/>
  <c r="AG4" i="16"/>
  <c r="AH4" i="16" s="1"/>
  <c r="AE90" i="16"/>
  <c r="AF4" i="16"/>
  <c r="J6" i="16"/>
  <c r="S6" i="16"/>
  <c r="T6" i="16" s="1"/>
  <c r="J4" i="16"/>
  <c r="J90" i="16" s="1"/>
  <c r="I90" i="16"/>
  <c r="AI3" i="16"/>
  <c r="S4" i="16"/>
  <c r="T4" i="16" s="1"/>
  <c r="S7" i="16"/>
  <c r="T7" i="16" s="1"/>
  <c r="S10" i="16"/>
  <c r="T10" i="16" s="1"/>
  <c r="S13" i="16"/>
  <c r="T13" i="16" s="1"/>
  <c r="S16" i="16"/>
  <c r="T16" i="16" s="1"/>
  <c r="S19" i="16"/>
  <c r="T19" i="16" s="1"/>
  <c r="S22" i="16"/>
  <c r="T22" i="16" s="1"/>
  <c r="S25" i="16"/>
  <c r="T25" i="16" s="1"/>
  <c r="S28" i="16"/>
  <c r="T28" i="16" s="1"/>
  <c r="S30" i="16"/>
  <c r="T30" i="16" s="1"/>
  <c r="S32" i="16"/>
  <c r="T32" i="16" s="1"/>
  <c r="S35" i="16"/>
  <c r="T35" i="16" s="1"/>
  <c r="S37" i="16"/>
  <c r="T37" i="16" s="1"/>
  <c r="S38" i="16"/>
  <c r="T38" i="16" s="1"/>
  <c r="S40" i="16"/>
  <c r="T40" i="16" s="1"/>
  <c r="S42" i="16"/>
  <c r="T42" i="16" s="1"/>
  <c r="S44" i="16"/>
  <c r="T44" i="16" s="1"/>
  <c r="S46" i="16"/>
  <c r="T46" i="16" s="1"/>
  <c r="S49" i="16"/>
  <c r="T49" i="16" s="1"/>
  <c r="S52" i="16"/>
  <c r="T52" i="16" s="1"/>
  <c r="S54" i="16"/>
  <c r="T54" i="16" s="1"/>
  <c r="S9" i="16"/>
  <c r="T9" i="16" s="1"/>
  <c r="S12" i="16"/>
  <c r="T12" i="16" s="1"/>
  <c r="S15" i="16"/>
  <c r="T15" i="16" s="1"/>
  <c r="S18" i="16"/>
  <c r="T18" i="16" s="1"/>
  <c r="S21" i="16"/>
  <c r="T21" i="16" s="1"/>
  <c r="S24" i="16"/>
  <c r="T24" i="16" s="1"/>
  <c r="S27" i="16"/>
  <c r="T27" i="16" s="1"/>
  <c r="S31" i="16"/>
  <c r="T31" i="16" s="1"/>
  <c r="S34" i="16"/>
  <c r="T34" i="16" s="1"/>
  <c r="S36" i="16"/>
  <c r="T36" i="16" s="1"/>
  <c r="S39" i="16"/>
  <c r="T39" i="16" s="1"/>
  <c r="S41" i="16"/>
  <c r="T41" i="16" s="1"/>
  <c r="S43" i="16"/>
  <c r="T43" i="16" s="1"/>
  <c r="S45" i="16"/>
  <c r="T45" i="16" s="1"/>
  <c r="S48" i="16"/>
  <c r="T48" i="16" s="1"/>
  <c r="S51" i="16"/>
  <c r="T51" i="16" s="1"/>
  <c r="S55" i="16"/>
  <c r="T55" i="16" s="1"/>
  <c r="S56" i="16"/>
  <c r="T56" i="16" s="1"/>
  <c r="S57" i="16"/>
  <c r="T57" i="16" s="1"/>
  <c r="S58" i="16"/>
  <c r="T58" i="16" s="1"/>
  <c r="S59" i="16"/>
  <c r="T59" i="16" s="1"/>
  <c r="S60" i="16"/>
  <c r="T60" i="16" s="1"/>
  <c r="S61" i="16"/>
  <c r="T61" i="16" s="1"/>
  <c r="S62" i="16"/>
  <c r="T62" i="16" s="1"/>
  <c r="S63" i="16"/>
  <c r="T63" i="16" s="1"/>
  <c r="S64" i="16"/>
  <c r="T64" i="16" s="1"/>
  <c r="S65" i="16"/>
  <c r="T65" i="16" s="1"/>
  <c r="S66" i="16"/>
  <c r="T66" i="16" s="1"/>
  <c r="S67" i="16"/>
  <c r="T67" i="16" s="1"/>
  <c r="S68" i="16"/>
  <c r="T68" i="16" s="1"/>
  <c r="S69" i="16"/>
  <c r="T69" i="16" s="1"/>
  <c r="S70" i="16"/>
  <c r="T70" i="16" s="1"/>
  <c r="S71" i="16"/>
  <c r="T71" i="16" s="1"/>
  <c r="S72" i="16"/>
  <c r="T72" i="16" s="1"/>
  <c r="S73" i="16"/>
  <c r="T73" i="16" s="1"/>
  <c r="S74" i="16"/>
  <c r="T74" i="16" s="1"/>
  <c r="S75" i="16"/>
  <c r="T75" i="16" s="1"/>
  <c r="S76" i="16"/>
  <c r="T76" i="16" s="1"/>
  <c r="S77" i="16"/>
  <c r="T77" i="16" s="1"/>
  <c r="S78" i="16"/>
  <c r="T78" i="16" s="1"/>
  <c r="S79" i="16"/>
  <c r="T79" i="16" s="1"/>
  <c r="S80" i="16"/>
  <c r="T80" i="16" s="1"/>
  <c r="S81" i="16"/>
  <c r="T81" i="16" s="1"/>
  <c r="S82" i="16"/>
  <c r="T82" i="16" s="1"/>
  <c r="S83" i="16"/>
  <c r="T83" i="16" s="1"/>
  <c r="S84" i="16"/>
  <c r="T84" i="16" s="1"/>
  <c r="S85" i="16"/>
  <c r="T85" i="16" s="1"/>
  <c r="S86" i="16"/>
  <c r="T86" i="16" s="1"/>
  <c r="S87" i="16"/>
  <c r="T87" i="16" s="1"/>
  <c r="S88" i="16"/>
  <c r="T88" i="16" s="1"/>
  <c r="S89" i="16"/>
  <c r="T89" i="16" s="1"/>
  <c r="S5" i="16"/>
  <c r="T5" i="16" s="1"/>
  <c r="S8" i="16"/>
  <c r="T8" i="16" s="1"/>
  <c r="S11" i="16"/>
  <c r="T11" i="16" s="1"/>
  <c r="S14" i="16"/>
  <c r="T14" i="16" s="1"/>
  <c r="S17" i="16"/>
  <c r="T17" i="16" s="1"/>
  <c r="S20" i="16"/>
  <c r="T20" i="16" s="1"/>
  <c r="S23" i="16"/>
  <c r="T23" i="16" s="1"/>
  <c r="S26" i="16"/>
  <c r="T26" i="16" s="1"/>
  <c r="S29" i="16"/>
  <c r="T29" i="16" s="1"/>
  <c r="S33" i="16"/>
  <c r="T33" i="16" s="1"/>
  <c r="S47" i="16"/>
  <c r="T47" i="16" s="1"/>
  <c r="S50" i="16"/>
  <c r="T50" i="16" s="1"/>
  <c r="S53" i="16"/>
  <c r="T53" i="16" s="1"/>
  <c r="M14" i="16"/>
  <c r="M81" i="16"/>
  <c r="M82" i="16"/>
  <c r="M83" i="16"/>
  <c r="M84" i="16"/>
  <c r="M85" i="16"/>
  <c r="M86" i="16"/>
  <c r="M87" i="16"/>
  <c r="M88" i="16"/>
  <c r="M89" i="16"/>
  <c r="M3" i="16"/>
  <c r="M4" i="16"/>
  <c r="M5" i="16"/>
  <c r="M6" i="16"/>
  <c r="N6" i="16" s="1"/>
  <c r="M7" i="16"/>
  <c r="M8" i="16"/>
  <c r="M9" i="16"/>
  <c r="M10" i="16"/>
  <c r="M11" i="16"/>
  <c r="M12" i="16"/>
  <c r="M13" i="16"/>
  <c r="M35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M64" i="16"/>
  <c r="M65" i="16"/>
  <c r="M66" i="16"/>
  <c r="M67" i="16"/>
  <c r="M68" i="16"/>
  <c r="M69" i="16"/>
  <c r="M70" i="16"/>
  <c r="M71" i="16"/>
  <c r="M72" i="16"/>
  <c r="M73" i="16"/>
  <c r="M74" i="16"/>
  <c r="M75" i="16"/>
  <c r="M76" i="16"/>
  <c r="M77" i="16"/>
  <c r="M78" i="16"/>
  <c r="M79" i="16"/>
  <c r="M80" i="16"/>
  <c r="K62" i="16"/>
  <c r="L62" i="16" s="1"/>
  <c r="K67" i="16"/>
  <c r="L67" i="16" s="1"/>
  <c r="K70" i="16"/>
  <c r="L70" i="16" s="1"/>
  <c r="K73" i="16"/>
  <c r="L73" i="16" s="1"/>
  <c r="K76" i="16"/>
  <c r="L76" i="16" s="1"/>
  <c r="K79" i="16"/>
  <c r="L79" i="16" s="1"/>
  <c r="K82" i="16"/>
  <c r="L82" i="16" s="1"/>
  <c r="K85" i="16"/>
  <c r="L85" i="16" s="1"/>
  <c r="K87" i="16"/>
  <c r="L87" i="16" s="1"/>
  <c r="K7" i="16"/>
  <c r="L7" i="16" s="1"/>
  <c r="K3" i="16"/>
  <c r="K4" i="16"/>
  <c r="L4" i="16" s="1"/>
  <c r="K5" i="16"/>
  <c r="L5" i="16" s="1"/>
  <c r="K6" i="16"/>
  <c r="L6" i="16" s="1"/>
  <c r="K8" i="16"/>
  <c r="L8" i="16" s="1"/>
  <c r="K9" i="16"/>
  <c r="L9" i="16" s="1"/>
  <c r="K10" i="16"/>
  <c r="L10" i="16" s="1"/>
  <c r="K11" i="16"/>
  <c r="L11" i="16" s="1"/>
  <c r="K12" i="16"/>
  <c r="L12" i="16" s="1"/>
  <c r="K13" i="16"/>
  <c r="L13" i="16" s="1"/>
  <c r="K14" i="16"/>
  <c r="L14" i="16" s="1"/>
  <c r="K15" i="16"/>
  <c r="L15" i="16" s="1"/>
  <c r="K16" i="16"/>
  <c r="L16" i="16" s="1"/>
  <c r="K17" i="16"/>
  <c r="L17" i="16" s="1"/>
  <c r="K18" i="16"/>
  <c r="L18" i="16" s="1"/>
  <c r="K19" i="16"/>
  <c r="L19" i="16" s="1"/>
  <c r="K20" i="16"/>
  <c r="L20" i="16" s="1"/>
  <c r="K21" i="16"/>
  <c r="L21" i="16" s="1"/>
  <c r="K22" i="16"/>
  <c r="L22" i="16" s="1"/>
  <c r="K23" i="16"/>
  <c r="L23" i="16" s="1"/>
  <c r="K24" i="16"/>
  <c r="L24" i="16" s="1"/>
  <c r="K25" i="16"/>
  <c r="L25" i="16" s="1"/>
  <c r="K26" i="16"/>
  <c r="L26" i="16" s="1"/>
  <c r="K27" i="16"/>
  <c r="L27" i="16" s="1"/>
  <c r="K28" i="16"/>
  <c r="L28" i="16" s="1"/>
  <c r="K29" i="16"/>
  <c r="L29" i="16" s="1"/>
  <c r="K30" i="16"/>
  <c r="L30" i="16" s="1"/>
  <c r="K31" i="16"/>
  <c r="L31" i="16" s="1"/>
  <c r="K32" i="16"/>
  <c r="L32" i="16" s="1"/>
  <c r="K33" i="16"/>
  <c r="L33" i="16" s="1"/>
  <c r="K34" i="16"/>
  <c r="L34" i="16" s="1"/>
  <c r="K35" i="16"/>
  <c r="L35" i="16" s="1"/>
  <c r="K36" i="16"/>
  <c r="L36" i="16" s="1"/>
  <c r="K37" i="16"/>
  <c r="L37" i="16" s="1"/>
  <c r="K57" i="16"/>
  <c r="L57" i="16" s="1"/>
  <c r="K39" i="16"/>
  <c r="L39" i="16" s="1"/>
  <c r="K40" i="16"/>
  <c r="L40" i="16" s="1"/>
  <c r="K41" i="16"/>
  <c r="L41" i="16" s="1"/>
  <c r="K42" i="16"/>
  <c r="L42" i="16" s="1"/>
  <c r="K43" i="16"/>
  <c r="L43" i="16" s="1"/>
  <c r="K44" i="16"/>
  <c r="L44" i="16" s="1"/>
  <c r="K45" i="16"/>
  <c r="L45" i="16" s="1"/>
  <c r="K46" i="16"/>
  <c r="L46" i="16" s="1"/>
  <c r="K47" i="16"/>
  <c r="L47" i="16" s="1"/>
  <c r="K48" i="16"/>
  <c r="L48" i="16" s="1"/>
  <c r="K49" i="16"/>
  <c r="L49" i="16" s="1"/>
  <c r="K50" i="16"/>
  <c r="L50" i="16" s="1"/>
  <c r="K51" i="16"/>
  <c r="L51" i="16" s="1"/>
  <c r="K52" i="16"/>
  <c r="L52" i="16" s="1"/>
  <c r="K53" i="16"/>
  <c r="L53" i="16" s="1"/>
  <c r="K54" i="16"/>
  <c r="L54" i="16" s="1"/>
  <c r="K55" i="16"/>
  <c r="L55" i="16" s="1"/>
  <c r="K58" i="16"/>
  <c r="L58" i="16" s="1"/>
  <c r="K60" i="16"/>
  <c r="L60" i="16" s="1"/>
  <c r="K63" i="16"/>
  <c r="L63" i="16" s="1"/>
  <c r="K38" i="16"/>
  <c r="L38" i="16" s="1"/>
  <c r="K68" i="16"/>
  <c r="L68" i="16" s="1"/>
  <c r="K71" i="16"/>
  <c r="L71" i="16" s="1"/>
  <c r="K74" i="16"/>
  <c r="L74" i="16" s="1"/>
  <c r="K77" i="16"/>
  <c r="L77" i="16" s="1"/>
  <c r="K80" i="16"/>
  <c r="L80" i="16" s="1"/>
  <c r="K83" i="16"/>
  <c r="L83" i="16" s="1"/>
  <c r="K86" i="16"/>
  <c r="L86" i="16" s="1"/>
  <c r="K89" i="16"/>
  <c r="L89" i="16" s="1"/>
  <c r="K56" i="16"/>
  <c r="L56" i="16" s="1"/>
  <c r="K59" i="16"/>
  <c r="L59" i="16" s="1"/>
  <c r="K61" i="16"/>
  <c r="L61" i="16" s="1"/>
  <c r="K64" i="16"/>
  <c r="L64" i="16" s="1"/>
  <c r="K66" i="16"/>
  <c r="L66" i="16" s="1"/>
  <c r="K69" i="16"/>
  <c r="L69" i="16" s="1"/>
  <c r="K72" i="16"/>
  <c r="L72" i="16" s="1"/>
  <c r="K75" i="16"/>
  <c r="L75" i="16" s="1"/>
  <c r="K78" i="16"/>
  <c r="L78" i="16" s="1"/>
  <c r="K81" i="16"/>
  <c r="L81" i="16" s="1"/>
  <c r="K84" i="16"/>
  <c r="L84" i="16" s="1"/>
  <c r="K88" i="16"/>
  <c r="L88" i="16" s="1"/>
  <c r="K65" i="16"/>
  <c r="L65" i="16" s="1"/>
  <c r="F23" i="6"/>
  <c r="H20" i="10"/>
  <c r="H17" i="10"/>
  <c r="H16" i="10"/>
  <c r="H15" i="10"/>
  <c r="H14" i="10"/>
  <c r="O93" i="10"/>
  <c r="O73" i="10"/>
  <c r="F52" i="10"/>
  <c r="G52" i="10" s="1"/>
  <c r="F18" i="10"/>
  <c r="C13" i="9"/>
  <c r="G38" i="6"/>
  <c r="O92" i="10"/>
  <c r="O72" i="10"/>
  <c r="F51" i="10"/>
  <c r="G51" i="10" s="1"/>
  <c r="C12" i="9"/>
  <c r="G37" i="6"/>
  <c r="H34" i="13" l="1"/>
  <c r="AG3" i="16"/>
  <c r="AH3" i="16" s="1"/>
  <c r="AF3" i="16"/>
  <c r="AG6" i="16"/>
  <c r="AH6" i="16" s="1"/>
  <c r="AF6" i="16"/>
  <c r="F8" i="8"/>
  <c r="H8" i="8" s="1"/>
  <c r="P81" i="10"/>
  <c r="AH11" i="16"/>
  <c r="H52" i="13"/>
  <c r="AH7" i="16"/>
  <c r="AG90" i="16"/>
  <c r="T90" i="16"/>
  <c r="Q3" i="16"/>
  <c r="R3" i="16" s="1"/>
  <c r="S90" i="16"/>
  <c r="W14" i="16"/>
  <c r="X14" i="16" s="1"/>
  <c r="N14" i="16"/>
  <c r="W81" i="16"/>
  <c r="X81" i="16" s="1"/>
  <c r="N81" i="16"/>
  <c r="W82" i="16"/>
  <c r="X82" i="16" s="1"/>
  <c r="N82" i="16"/>
  <c r="W83" i="16"/>
  <c r="X83" i="16" s="1"/>
  <c r="N83" i="16"/>
  <c r="W84" i="16"/>
  <c r="X84" i="16" s="1"/>
  <c r="N84" i="16"/>
  <c r="W85" i="16"/>
  <c r="X85" i="16" s="1"/>
  <c r="N85" i="16"/>
  <c r="W86" i="16"/>
  <c r="X86" i="16" s="1"/>
  <c r="N86" i="16"/>
  <c r="W87" i="16"/>
  <c r="X87" i="16" s="1"/>
  <c r="N87" i="16"/>
  <c r="W88" i="16"/>
  <c r="X88" i="16" s="1"/>
  <c r="N88" i="16"/>
  <c r="W89" i="16"/>
  <c r="X89" i="16" s="1"/>
  <c r="N89" i="16"/>
  <c r="N3" i="16"/>
  <c r="M90" i="16"/>
  <c r="W4" i="16"/>
  <c r="X4" i="16" s="1"/>
  <c r="N4" i="16"/>
  <c r="W5" i="16"/>
  <c r="X5" i="16" s="1"/>
  <c r="N5" i="16"/>
  <c r="W7" i="16"/>
  <c r="X7" i="16" s="1"/>
  <c r="N7" i="16"/>
  <c r="W8" i="16"/>
  <c r="X8" i="16" s="1"/>
  <c r="N8" i="16"/>
  <c r="W9" i="16"/>
  <c r="X9" i="16" s="1"/>
  <c r="N9" i="16"/>
  <c r="W10" i="16"/>
  <c r="X10" i="16" s="1"/>
  <c r="N10" i="16"/>
  <c r="W11" i="16"/>
  <c r="X11" i="16" s="1"/>
  <c r="N11" i="16"/>
  <c r="W12" i="16"/>
  <c r="X12" i="16" s="1"/>
  <c r="N12" i="16"/>
  <c r="W13" i="16"/>
  <c r="X13" i="16" s="1"/>
  <c r="N13" i="16"/>
  <c r="W35" i="16"/>
  <c r="X35" i="16" s="1"/>
  <c r="N35" i="16"/>
  <c r="W15" i="16"/>
  <c r="X15" i="16" s="1"/>
  <c r="N15" i="16"/>
  <c r="W16" i="16"/>
  <c r="X16" i="16" s="1"/>
  <c r="N16" i="16"/>
  <c r="W17" i="16"/>
  <c r="X17" i="16" s="1"/>
  <c r="N17" i="16"/>
  <c r="W18" i="16"/>
  <c r="X18" i="16" s="1"/>
  <c r="N18" i="16"/>
  <c r="W19" i="16"/>
  <c r="X19" i="16" s="1"/>
  <c r="N19" i="16"/>
  <c r="W20" i="16"/>
  <c r="X20" i="16" s="1"/>
  <c r="N20" i="16"/>
  <c r="W21" i="16"/>
  <c r="X21" i="16" s="1"/>
  <c r="N21" i="16"/>
  <c r="W22" i="16"/>
  <c r="X22" i="16" s="1"/>
  <c r="N22" i="16"/>
  <c r="W23" i="16"/>
  <c r="X23" i="16" s="1"/>
  <c r="N23" i="16"/>
  <c r="W24" i="16"/>
  <c r="X24" i="16" s="1"/>
  <c r="N24" i="16"/>
  <c r="W25" i="16"/>
  <c r="X25" i="16" s="1"/>
  <c r="N25" i="16"/>
  <c r="W26" i="16"/>
  <c r="X26" i="16" s="1"/>
  <c r="N26" i="16"/>
  <c r="W27" i="16"/>
  <c r="X27" i="16" s="1"/>
  <c r="N27" i="16"/>
  <c r="W28" i="16"/>
  <c r="X28" i="16" s="1"/>
  <c r="N28" i="16"/>
  <c r="W29" i="16"/>
  <c r="X29" i="16" s="1"/>
  <c r="N29" i="16"/>
  <c r="W30" i="16"/>
  <c r="X30" i="16" s="1"/>
  <c r="N30" i="16"/>
  <c r="W31" i="16"/>
  <c r="X31" i="16" s="1"/>
  <c r="N31" i="16"/>
  <c r="W32" i="16"/>
  <c r="X32" i="16" s="1"/>
  <c r="N32" i="16"/>
  <c r="W33" i="16"/>
  <c r="X33" i="16" s="1"/>
  <c r="N33" i="16"/>
  <c r="W34" i="16"/>
  <c r="X34" i="16" s="1"/>
  <c r="N34" i="16"/>
  <c r="W36" i="16"/>
  <c r="X36" i="16" s="1"/>
  <c r="N36" i="16"/>
  <c r="W37" i="16"/>
  <c r="X37" i="16" s="1"/>
  <c r="N37" i="16"/>
  <c r="W38" i="16"/>
  <c r="X38" i="16" s="1"/>
  <c r="N38" i="16"/>
  <c r="W39" i="16"/>
  <c r="X39" i="16" s="1"/>
  <c r="N39" i="16"/>
  <c r="W40" i="16"/>
  <c r="X40" i="16" s="1"/>
  <c r="N40" i="16"/>
  <c r="W41" i="16"/>
  <c r="X41" i="16" s="1"/>
  <c r="N41" i="16"/>
  <c r="W42" i="16"/>
  <c r="X42" i="16" s="1"/>
  <c r="N42" i="16"/>
  <c r="W43" i="16"/>
  <c r="X43" i="16" s="1"/>
  <c r="N43" i="16"/>
  <c r="W44" i="16"/>
  <c r="X44" i="16" s="1"/>
  <c r="N44" i="16"/>
  <c r="W45" i="16"/>
  <c r="X45" i="16" s="1"/>
  <c r="N45" i="16"/>
  <c r="W46" i="16"/>
  <c r="X46" i="16" s="1"/>
  <c r="N46" i="16"/>
  <c r="W47" i="16"/>
  <c r="X47" i="16" s="1"/>
  <c r="N47" i="16"/>
  <c r="W48" i="16"/>
  <c r="X48" i="16" s="1"/>
  <c r="N48" i="16"/>
  <c r="W49" i="16"/>
  <c r="X49" i="16" s="1"/>
  <c r="N49" i="16"/>
  <c r="W50" i="16"/>
  <c r="X50" i="16" s="1"/>
  <c r="N50" i="16"/>
  <c r="W51" i="16"/>
  <c r="X51" i="16" s="1"/>
  <c r="N51" i="16"/>
  <c r="W52" i="16"/>
  <c r="X52" i="16" s="1"/>
  <c r="N52" i="16"/>
  <c r="W53" i="16"/>
  <c r="X53" i="16" s="1"/>
  <c r="N53" i="16"/>
  <c r="W54" i="16"/>
  <c r="X54" i="16" s="1"/>
  <c r="N54" i="16"/>
  <c r="W55" i="16"/>
  <c r="X55" i="16" s="1"/>
  <c r="N55" i="16"/>
  <c r="W56" i="16"/>
  <c r="X56" i="16" s="1"/>
  <c r="N56" i="16"/>
  <c r="W57" i="16"/>
  <c r="X57" i="16" s="1"/>
  <c r="N57" i="16"/>
  <c r="W58" i="16"/>
  <c r="X58" i="16" s="1"/>
  <c r="N58" i="16"/>
  <c r="W59" i="16"/>
  <c r="X59" i="16" s="1"/>
  <c r="N59" i="16"/>
  <c r="W60" i="16"/>
  <c r="X60" i="16" s="1"/>
  <c r="N60" i="16"/>
  <c r="W61" i="16"/>
  <c r="X61" i="16" s="1"/>
  <c r="N61" i="16"/>
  <c r="W62" i="16"/>
  <c r="X62" i="16" s="1"/>
  <c r="N62" i="16"/>
  <c r="W63" i="16"/>
  <c r="X63" i="16" s="1"/>
  <c r="N63" i="16"/>
  <c r="W64" i="16"/>
  <c r="X64" i="16" s="1"/>
  <c r="N64" i="16"/>
  <c r="W65" i="16"/>
  <c r="X65" i="16" s="1"/>
  <c r="N65" i="16"/>
  <c r="W66" i="16"/>
  <c r="X66" i="16" s="1"/>
  <c r="N66" i="16"/>
  <c r="W67" i="16"/>
  <c r="X67" i="16" s="1"/>
  <c r="N67" i="16"/>
  <c r="W68" i="16"/>
  <c r="X68" i="16" s="1"/>
  <c r="N68" i="16"/>
  <c r="W69" i="16"/>
  <c r="X69" i="16" s="1"/>
  <c r="N69" i="16"/>
  <c r="W70" i="16"/>
  <c r="X70" i="16" s="1"/>
  <c r="N70" i="16"/>
  <c r="W71" i="16"/>
  <c r="X71" i="16" s="1"/>
  <c r="N71" i="16"/>
  <c r="W72" i="16"/>
  <c r="X72" i="16" s="1"/>
  <c r="N72" i="16"/>
  <c r="W73" i="16"/>
  <c r="X73" i="16" s="1"/>
  <c r="N73" i="16"/>
  <c r="W74" i="16"/>
  <c r="X74" i="16" s="1"/>
  <c r="N74" i="16"/>
  <c r="W75" i="16"/>
  <c r="X75" i="16" s="1"/>
  <c r="N75" i="16"/>
  <c r="W76" i="16"/>
  <c r="X76" i="16" s="1"/>
  <c r="N76" i="16"/>
  <c r="W77" i="16"/>
  <c r="X77" i="16" s="1"/>
  <c r="N77" i="16"/>
  <c r="W78" i="16"/>
  <c r="X78" i="16" s="1"/>
  <c r="N78" i="16"/>
  <c r="W79" i="16"/>
  <c r="X79" i="16" s="1"/>
  <c r="N79" i="16"/>
  <c r="W80" i="16"/>
  <c r="X80" i="16" s="1"/>
  <c r="N80" i="16"/>
  <c r="L3" i="16"/>
  <c r="L90" i="16" s="1"/>
  <c r="K90" i="16"/>
  <c r="U62" i="16"/>
  <c r="V62" i="16" s="1"/>
  <c r="Q62" i="16"/>
  <c r="R62" i="16" s="1"/>
  <c r="U26" i="16"/>
  <c r="V26" i="16" s="1"/>
  <c r="Q26" i="16"/>
  <c r="R26" i="16" s="1"/>
  <c r="U27" i="16"/>
  <c r="V27" i="16" s="1"/>
  <c r="Q27" i="16"/>
  <c r="R27" i="16" s="1"/>
  <c r="U29" i="16"/>
  <c r="V29" i="16" s="1"/>
  <c r="Q29" i="16"/>
  <c r="R29" i="16" s="1"/>
  <c r="U30" i="16"/>
  <c r="V30" i="16" s="1"/>
  <c r="Q30" i="16"/>
  <c r="R30" i="16" s="1"/>
  <c r="U31" i="16"/>
  <c r="V31" i="16" s="1"/>
  <c r="Q31" i="16"/>
  <c r="R31" i="16" s="1"/>
  <c r="U32" i="16"/>
  <c r="V32" i="16" s="1"/>
  <c r="Q32" i="16"/>
  <c r="R32" i="16" s="1"/>
  <c r="U33" i="16"/>
  <c r="V33" i="16" s="1"/>
  <c r="Q33" i="16"/>
  <c r="R33" i="16" s="1"/>
  <c r="U34" i="16"/>
  <c r="V34" i="16" s="1"/>
  <c r="Q34" i="16"/>
  <c r="R34" i="16" s="1"/>
  <c r="U36" i="16"/>
  <c r="V36" i="16" s="1"/>
  <c r="Q36" i="16"/>
  <c r="R36" i="16" s="1"/>
  <c r="U57" i="16"/>
  <c r="V57" i="16" s="1"/>
  <c r="Q57" i="16"/>
  <c r="R57" i="16" s="1"/>
  <c r="U39" i="16"/>
  <c r="V39" i="16" s="1"/>
  <c r="Q39" i="16"/>
  <c r="R39" i="16" s="1"/>
  <c r="U41" i="16"/>
  <c r="V41" i="16" s="1"/>
  <c r="Q41" i="16"/>
  <c r="R41" i="16" s="1"/>
  <c r="U43" i="16"/>
  <c r="V43" i="16" s="1"/>
  <c r="Q43" i="16"/>
  <c r="R43" i="16" s="1"/>
  <c r="U45" i="16"/>
  <c r="V45" i="16" s="1"/>
  <c r="Q45" i="16"/>
  <c r="R45" i="16" s="1"/>
  <c r="U47" i="16"/>
  <c r="V47" i="16" s="1"/>
  <c r="Q47" i="16"/>
  <c r="R47" i="16" s="1"/>
  <c r="U48" i="16"/>
  <c r="V48" i="16" s="1"/>
  <c r="Q48" i="16"/>
  <c r="R48" i="16" s="1"/>
  <c r="U50" i="16"/>
  <c r="V50" i="16" s="1"/>
  <c r="Q50" i="16"/>
  <c r="R50" i="16" s="1"/>
  <c r="U51" i="16"/>
  <c r="V51" i="16" s="1"/>
  <c r="Q51" i="16"/>
  <c r="R51" i="16" s="1"/>
  <c r="U53" i="16"/>
  <c r="V53" i="16" s="1"/>
  <c r="Q53" i="16"/>
  <c r="R53" i="16" s="1"/>
  <c r="U55" i="16"/>
  <c r="V55" i="16" s="1"/>
  <c r="Q55" i="16"/>
  <c r="R55" i="16" s="1"/>
  <c r="U58" i="16"/>
  <c r="V58" i="16" s="1"/>
  <c r="Q58" i="16"/>
  <c r="R58" i="16" s="1"/>
  <c r="U60" i="16"/>
  <c r="V60" i="16" s="1"/>
  <c r="Q60" i="16"/>
  <c r="R60" i="16" s="1"/>
  <c r="U63" i="16"/>
  <c r="V63" i="16" s="1"/>
  <c r="Q63" i="16"/>
  <c r="R63" i="16" s="1"/>
  <c r="U56" i="16"/>
  <c r="V56" i="16" s="1"/>
  <c r="Q56" i="16"/>
  <c r="R56" i="16" s="1"/>
  <c r="U59" i="16"/>
  <c r="V59" i="16" s="1"/>
  <c r="Q59" i="16"/>
  <c r="R59" i="16" s="1"/>
  <c r="U61" i="16"/>
  <c r="V61" i="16" s="1"/>
  <c r="Q61" i="16"/>
  <c r="R61" i="16" s="1"/>
  <c r="U64" i="16"/>
  <c r="V64" i="16" s="1"/>
  <c r="Q64" i="16"/>
  <c r="R64" i="16" s="1"/>
  <c r="H5" i="10"/>
  <c r="W3" i="16"/>
  <c r="W6" i="16"/>
  <c r="X6" i="16" s="1"/>
  <c r="U3" i="16"/>
  <c r="U6" i="16"/>
  <c r="V6" i="16" s="1"/>
  <c r="U67" i="16"/>
  <c r="V67" i="16" s="1"/>
  <c r="Q67" i="16"/>
  <c r="R67" i="16" s="1"/>
  <c r="U70" i="16"/>
  <c r="V70" i="16" s="1"/>
  <c r="Q70" i="16"/>
  <c r="R70" i="16" s="1"/>
  <c r="U73" i="16"/>
  <c r="V73" i="16" s="1"/>
  <c r="Q73" i="16"/>
  <c r="R73" i="16" s="1"/>
  <c r="U76" i="16"/>
  <c r="V76" i="16" s="1"/>
  <c r="Q76" i="16"/>
  <c r="R76" i="16" s="1"/>
  <c r="U79" i="16"/>
  <c r="V79" i="16" s="1"/>
  <c r="Q79" i="16"/>
  <c r="R79" i="16" s="1"/>
  <c r="U82" i="16"/>
  <c r="V82" i="16" s="1"/>
  <c r="Q82" i="16"/>
  <c r="R82" i="16" s="1"/>
  <c r="U85" i="16"/>
  <c r="V85" i="16" s="1"/>
  <c r="Q85" i="16"/>
  <c r="R85" i="16" s="1"/>
  <c r="U87" i="16"/>
  <c r="V87" i="16" s="1"/>
  <c r="Q87" i="16"/>
  <c r="R87" i="16" s="1"/>
  <c r="U7" i="16"/>
  <c r="V7" i="16" s="1"/>
  <c r="Q7" i="16"/>
  <c r="R7" i="16" s="1"/>
  <c r="U4" i="16"/>
  <c r="V4" i="16" s="1"/>
  <c r="Q4" i="16"/>
  <c r="R4" i="16" s="1"/>
  <c r="U5" i="16"/>
  <c r="V5" i="16" s="1"/>
  <c r="Q5" i="16"/>
  <c r="R5" i="16" s="1"/>
  <c r="Q6" i="16"/>
  <c r="R6" i="16" s="1"/>
  <c r="U8" i="16"/>
  <c r="V8" i="16" s="1"/>
  <c r="Q8" i="16"/>
  <c r="R8" i="16" s="1"/>
  <c r="U9" i="16"/>
  <c r="V9" i="16" s="1"/>
  <c r="Q9" i="16"/>
  <c r="R9" i="16" s="1"/>
  <c r="U10" i="16"/>
  <c r="V10" i="16" s="1"/>
  <c r="Q10" i="16"/>
  <c r="R10" i="16" s="1"/>
  <c r="U11" i="16"/>
  <c r="V11" i="16" s="1"/>
  <c r="K33" i="13" s="1"/>
  <c r="Q11" i="16"/>
  <c r="R11" i="16" s="1"/>
  <c r="U12" i="16"/>
  <c r="V12" i="16" s="1"/>
  <c r="Q12" i="16"/>
  <c r="R12" i="16" s="1"/>
  <c r="U13" i="16"/>
  <c r="V13" i="16" s="1"/>
  <c r="Q13" i="16"/>
  <c r="R13" i="16" s="1"/>
  <c r="U14" i="16"/>
  <c r="V14" i="16" s="1"/>
  <c r="Q14" i="16"/>
  <c r="R14" i="16" s="1"/>
  <c r="U15" i="16"/>
  <c r="V15" i="16" s="1"/>
  <c r="Q15" i="16"/>
  <c r="R15" i="16" s="1"/>
  <c r="U16" i="16"/>
  <c r="V16" i="16" s="1"/>
  <c r="Q16" i="16"/>
  <c r="R16" i="16" s="1"/>
  <c r="U17" i="16"/>
  <c r="V17" i="16" s="1"/>
  <c r="Q17" i="16"/>
  <c r="R17" i="16" s="1"/>
  <c r="U18" i="16"/>
  <c r="V18" i="16" s="1"/>
  <c r="Q18" i="16"/>
  <c r="R18" i="16" s="1"/>
  <c r="U19" i="16"/>
  <c r="V19" i="16" s="1"/>
  <c r="Q19" i="16"/>
  <c r="R19" i="16" s="1"/>
  <c r="U20" i="16"/>
  <c r="V20" i="16" s="1"/>
  <c r="Q20" i="16"/>
  <c r="R20" i="16" s="1"/>
  <c r="U21" i="16"/>
  <c r="V21" i="16" s="1"/>
  <c r="Q21" i="16"/>
  <c r="R21" i="16" s="1"/>
  <c r="U22" i="16"/>
  <c r="V22" i="16" s="1"/>
  <c r="Q22" i="16"/>
  <c r="R22" i="16" s="1"/>
  <c r="U23" i="16"/>
  <c r="V23" i="16" s="1"/>
  <c r="Q23" i="16"/>
  <c r="R23" i="16" s="1"/>
  <c r="U24" i="16"/>
  <c r="V24" i="16" s="1"/>
  <c r="Q24" i="16"/>
  <c r="R24" i="16" s="1"/>
  <c r="U25" i="16"/>
  <c r="V25" i="16" s="1"/>
  <c r="Q25" i="16"/>
  <c r="R25" i="16" s="1"/>
  <c r="U28" i="16"/>
  <c r="V28" i="16" s="1"/>
  <c r="Q28" i="16"/>
  <c r="R28" i="16" s="1"/>
  <c r="U35" i="16"/>
  <c r="V35" i="16" s="1"/>
  <c r="Q35" i="16"/>
  <c r="R35" i="16" s="1"/>
  <c r="U37" i="16"/>
  <c r="V37" i="16" s="1"/>
  <c r="Q37" i="16"/>
  <c r="R37" i="16" s="1"/>
  <c r="U40" i="16"/>
  <c r="V40" i="16" s="1"/>
  <c r="Q40" i="16"/>
  <c r="R40" i="16" s="1"/>
  <c r="U42" i="16"/>
  <c r="V42" i="16" s="1"/>
  <c r="Q42" i="16"/>
  <c r="R42" i="16" s="1"/>
  <c r="U44" i="16"/>
  <c r="V44" i="16" s="1"/>
  <c r="Q44" i="16"/>
  <c r="R44" i="16" s="1"/>
  <c r="U46" i="16"/>
  <c r="V46" i="16" s="1"/>
  <c r="Q46" i="16"/>
  <c r="R46" i="16" s="1"/>
  <c r="U49" i="16"/>
  <c r="V49" i="16" s="1"/>
  <c r="Q49" i="16"/>
  <c r="R49" i="16" s="1"/>
  <c r="U52" i="16"/>
  <c r="V52" i="16" s="1"/>
  <c r="Q52" i="16"/>
  <c r="R52" i="16" s="1"/>
  <c r="U54" i="16"/>
  <c r="V54" i="16" s="1"/>
  <c r="Q54" i="16"/>
  <c r="R54" i="16" s="1"/>
  <c r="U38" i="16"/>
  <c r="V38" i="16" s="1"/>
  <c r="Q38" i="16"/>
  <c r="R38" i="16" s="1"/>
  <c r="U68" i="16"/>
  <c r="V68" i="16" s="1"/>
  <c r="Q68" i="16"/>
  <c r="R68" i="16" s="1"/>
  <c r="U71" i="16"/>
  <c r="V71" i="16" s="1"/>
  <c r="Q71" i="16"/>
  <c r="R71" i="16" s="1"/>
  <c r="U74" i="16"/>
  <c r="V74" i="16" s="1"/>
  <c r="Q74" i="16"/>
  <c r="R74" i="16" s="1"/>
  <c r="U77" i="16"/>
  <c r="V77" i="16" s="1"/>
  <c r="Q77" i="16"/>
  <c r="R77" i="16" s="1"/>
  <c r="U80" i="16"/>
  <c r="V80" i="16" s="1"/>
  <c r="Q80" i="16"/>
  <c r="R80" i="16" s="1"/>
  <c r="U83" i="16"/>
  <c r="V83" i="16" s="1"/>
  <c r="Q83" i="16"/>
  <c r="R83" i="16" s="1"/>
  <c r="U86" i="16"/>
  <c r="V86" i="16" s="1"/>
  <c r="Q86" i="16"/>
  <c r="R86" i="16" s="1"/>
  <c r="U89" i="16"/>
  <c r="V89" i="16" s="1"/>
  <c r="Q89" i="16"/>
  <c r="R89" i="16" s="1"/>
  <c r="U66" i="16"/>
  <c r="V66" i="16" s="1"/>
  <c r="Q66" i="16"/>
  <c r="R66" i="16" s="1"/>
  <c r="U69" i="16"/>
  <c r="V69" i="16" s="1"/>
  <c r="Q69" i="16"/>
  <c r="R69" i="16" s="1"/>
  <c r="U72" i="16"/>
  <c r="V72" i="16" s="1"/>
  <c r="Q72" i="16"/>
  <c r="R72" i="16" s="1"/>
  <c r="U75" i="16"/>
  <c r="V75" i="16" s="1"/>
  <c r="Q75" i="16"/>
  <c r="R75" i="16" s="1"/>
  <c r="U78" i="16"/>
  <c r="V78" i="16" s="1"/>
  <c r="Q78" i="16"/>
  <c r="R78" i="16" s="1"/>
  <c r="U81" i="16"/>
  <c r="V81" i="16" s="1"/>
  <c r="Q81" i="16"/>
  <c r="R81" i="16" s="1"/>
  <c r="U84" i="16"/>
  <c r="V84" i="16" s="1"/>
  <c r="Q84" i="16"/>
  <c r="R84" i="16" s="1"/>
  <c r="U88" i="16"/>
  <c r="V88" i="16" s="1"/>
  <c r="Q88" i="16"/>
  <c r="R88" i="16" s="1"/>
  <c r="U65" i="16"/>
  <c r="V65" i="16" s="1"/>
  <c r="Q65" i="16"/>
  <c r="R65" i="16" s="1"/>
  <c r="E5" i="10"/>
  <c r="F23" i="10"/>
  <c r="F28" i="10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K13" i="7" s="1"/>
  <c r="J12" i="7"/>
  <c r="J11" i="7"/>
  <c r="AI4" i="16"/>
  <c r="G18" i="10"/>
  <c r="H18" i="10"/>
  <c r="L5" i="4" l="1"/>
  <c r="I8" i="8"/>
  <c r="AH90" i="16"/>
  <c r="J8" i="8"/>
  <c r="K8" i="8"/>
  <c r="AF90" i="16"/>
  <c r="AI32" i="16"/>
  <c r="AI31" i="16"/>
  <c r="AI30" i="16"/>
  <c r="AI29" i="16"/>
  <c r="AI28" i="16"/>
  <c r="AI27" i="16"/>
  <c r="AI26" i="16"/>
  <c r="AI25" i="16"/>
  <c r="AI24" i="16"/>
  <c r="AI23" i="16"/>
  <c r="AI22" i="16"/>
  <c r="AI21" i="16"/>
  <c r="AI20" i="16"/>
  <c r="AI19" i="16"/>
  <c r="AI18" i="16"/>
  <c r="AI17" i="16"/>
  <c r="AI16" i="16"/>
  <c r="AI15" i="16"/>
  <c r="AI14" i="16"/>
  <c r="AI13" i="16"/>
  <c r="AI12" i="16"/>
  <c r="AI11" i="16"/>
  <c r="AI10" i="16"/>
  <c r="AI9" i="16"/>
  <c r="AI8" i="16"/>
  <c r="AI7" i="16"/>
  <c r="AI6" i="16"/>
  <c r="AI5" i="16"/>
  <c r="AI90" i="16" s="1"/>
  <c r="X3" i="16"/>
  <c r="W90" i="16"/>
  <c r="V3" i="16"/>
  <c r="U90" i="16"/>
  <c r="R90" i="16"/>
  <c r="Q90" i="16"/>
  <c r="N90" i="16"/>
  <c r="AP3" i="16"/>
  <c r="H40" i="13" s="1"/>
  <c r="O4" i="16"/>
  <c r="P4" i="16" s="1"/>
  <c r="O5" i="16"/>
  <c r="P5" i="16" s="1"/>
  <c r="O6" i="16"/>
  <c r="P6" i="16" s="1"/>
  <c r="O7" i="16"/>
  <c r="P7" i="16" s="1"/>
  <c r="O8" i="16"/>
  <c r="P8" i="16" s="1"/>
  <c r="O9" i="16"/>
  <c r="P9" i="16" s="1"/>
  <c r="O10" i="16"/>
  <c r="P10" i="16" s="1"/>
  <c r="O11" i="16"/>
  <c r="P11" i="16" s="1"/>
  <c r="O12" i="16"/>
  <c r="P12" i="16" s="1"/>
  <c r="O13" i="16"/>
  <c r="P13" i="16" s="1"/>
  <c r="O14" i="16"/>
  <c r="P14" i="16" s="1"/>
  <c r="O15" i="16"/>
  <c r="P15" i="16" s="1"/>
  <c r="O16" i="16"/>
  <c r="P16" i="16" s="1"/>
  <c r="O17" i="16"/>
  <c r="P17" i="16" s="1"/>
  <c r="O18" i="16"/>
  <c r="P18" i="16" s="1"/>
  <c r="O19" i="16"/>
  <c r="P19" i="16" s="1"/>
  <c r="O20" i="16"/>
  <c r="P20" i="16" s="1"/>
  <c r="O21" i="16"/>
  <c r="P21" i="16" s="1"/>
  <c r="O22" i="16"/>
  <c r="P22" i="16" s="1"/>
  <c r="O23" i="16"/>
  <c r="P23" i="16" s="1"/>
  <c r="O24" i="16"/>
  <c r="P24" i="16" s="1"/>
  <c r="O25" i="16"/>
  <c r="P25" i="16" s="1"/>
  <c r="O26" i="16"/>
  <c r="P26" i="16" s="1"/>
  <c r="O27" i="16"/>
  <c r="P27" i="16" s="1"/>
  <c r="O28" i="16"/>
  <c r="P28" i="16" s="1"/>
  <c r="O29" i="16"/>
  <c r="P29" i="16" s="1"/>
  <c r="O30" i="16"/>
  <c r="P30" i="16" s="1"/>
  <c r="O31" i="16"/>
  <c r="P31" i="16" s="1"/>
  <c r="O32" i="16"/>
  <c r="P32" i="16" s="1"/>
  <c r="O33" i="16"/>
  <c r="P33" i="16" s="1"/>
  <c r="O34" i="16"/>
  <c r="P34" i="16" s="1"/>
  <c r="O35" i="16"/>
  <c r="P35" i="16" s="1"/>
  <c r="O36" i="16"/>
  <c r="P36" i="16" s="1"/>
  <c r="O37" i="16"/>
  <c r="P37" i="16" s="1"/>
  <c r="O38" i="16"/>
  <c r="P38" i="16" s="1"/>
  <c r="O39" i="16"/>
  <c r="P39" i="16" s="1"/>
  <c r="O40" i="16"/>
  <c r="P40" i="16" s="1"/>
  <c r="O41" i="16"/>
  <c r="P41" i="16" s="1"/>
  <c r="O42" i="16"/>
  <c r="P42" i="16" s="1"/>
  <c r="O43" i="16"/>
  <c r="P43" i="16" s="1"/>
  <c r="O44" i="16"/>
  <c r="P44" i="16" s="1"/>
  <c r="O45" i="16"/>
  <c r="P45" i="16" s="1"/>
  <c r="O46" i="16"/>
  <c r="P46" i="16" s="1"/>
  <c r="O47" i="16"/>
  <c r="P47" i="16" s="1"/>
  <c r="O48" i="16"/>
  <c r="P48" i="16" s="1"/>
  <c r="O49" i="16"/>
  <c r="P49" i="16" s="1"/>
  <c r="O50" i="16"/>
  <c r="P50" i="16" s="1"/>
  <c r="O51" i="16"/>
  <c r="P51" i="16" s="1"/>
  <c r="O52" i="16"/>
  <c r="P52" i="16" s="1"/>
  <c r="O53" i="16"/>
  <c r="P53" i="16" s="1"/>
  <c r="O54" i="16"/>
  <c r="P54" i="16" s="1"/>
  <c r="O55" i="16"/>
  <c r="P55" i="16" s="1"/>
  <c r="O56" i="16"/>
  <c r="P56" i="16" s="1"/>
  <c r="O57" i="16"/>
  <c r="P57" i="16" s="1"/>
  <c r="O58" i="16"/>
  <c r="P58" i="16" s="1"/>
  <c r="O59" i="16"/>
  <c r="P59" i="16" s="1"/>
  <c r="O60" i="16"/>
  <c r="P60" i="16" s="1"/>
  <c r="O61" i="16"/>
  <c r="P61" i="16" s="1"/>
  <c r="O62" i="16"/>
  <c r="P62" i="16" s="1"/>
  <c r="O63" i="16"/>
  <c r="P63" i="16" s="1"/>
  <c r="O64" i="16"/>
  <c r="P64" i="16" s="1"/>
  <c r="O65" i="16"/>
  <c r="P65" i="16" s="1"/>
  <c r="O66" i="16"/>
  <c r="P66" i="16" s="1"/>
  <c r="O67" i="16"/>
  <c r="P67" i="16" s="1"/>
  <c r="O68" i="16"/>
  <c r="P68" i="16" s="1"/>
  <c r="O69" i="16"/>
  <c r="P69" i="16" s="1"/>
  <c r="O70" i="16"/>
  <c r="P70" i="16" s="1"/>
  <c r="O71" i="16"/>
  <c r="P71" i="16" s="1"/>
  <c r="O72" i="16"/>
  <c r="P72" i="16" s="1"/>
  <c r="O73" i="16"/>
  <c r="P73" i="16" s="1"/>
  <c r="O74" i="16"/>
  <c r="P74" i="16" s="1"/>
  <c r="O75" i="16"/>
  <c r="P75" i="16" s="1"/>
  <c r="O76" i="16"/>
  <c r="P76" i="16" s="1"/>
  <c r="O77" i="16"/>
  <c r="P77" i="16" s="1"/>
  <c r="O78" i="16"/>
  <c r="P78" i="16" s="1"/>
  <c r="O79" i="16"/>
  <c r="P79" i="16" s="1"/>
  <c r="O80" i="16"/>
  <c r="P80" i="16" s="1"/>
  <c r="O81" i="16"/>
  <c r="P81" i="16" s="1"/>
  <c r="O82" i="16"/>
  <c r="P82" i="16" s="1"/>
  <c r="O83" i="16"/>
  <c r="P83" i="16" s="1"/>
  <c r="O84" i="16"/>
  <c r="P84" i="16" s="1"/>
  <c r="O85" i="16"/>
  <c r="P85" i="16" s="1"/>
  <c r="O86" i="16"/>
  <c r="P86" i="16" s="1"/>
  <c r="O87" i="16"/>
  <c r="P87" i="16" s="1"/>
  <c r="O88" i="16"/>
  <c r="P88" i="16" s="1"/>
  <c r="O89" i="16"/>
  <c r="P89" i="16" s="1"/>
  <c r="O3" i="16"/>
  <c r="AA3" i="16" s="1"/>
  <c r="AC3" i="16" s="1"/>
  <c r="O94" i="10"/>
  <c r="O74" i="10"/>
  <c r="F53" i="10"/>
  <c r="G53" i="10" s="1"/>
  <c r="F19" i="10"/>
  <c r="E9" i="10"/>
  <c r="L5" i="10"/>
  <c r="C14" i="9"/>
  <c r="C16" i="9" s="1"/>
  <c r="G39" i="6"/>
  <c r="AJ3" i="16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2" i="7"/>
  <c r="K11" i="7"/>
  <c r="K10" i="7"/>
  <c r="K9" i="7"/>
  <c r="K8" i="7"/>
  <c r="C17" i="9" l="1"/>
  <c r="AL3" i="16"/>
  <c r="AM3" i="16" s="1"/>
  <c r="AN3" i="16" s="1"/>
  <c r="X90" i="16"/>
  <c r="M33" i="13"/>
  <c r="V90" i="16"/>
  <c r="AJ32" i="16"/>
  <c r="AV32" i="16" s="1"/>
  <c r="AJ31" i="16"/>
  <c r="AV31" i="16" s="1"/>
  <c r="AJ30" i="16"/>
  <c r="AV30" i="16" s="1"/>
  <c r="AJ29" i="16"/>
  <c r="AV29" i="16" s="1"/>
  <c r="AJ28" i="16"/>
  <c r="AV28" i="16" s="1"/>
  <c r="AJ27" i="16"/>
  <c r="AV27" i="16" s="1"/>
  <c r="AJ26" i="16"/>
  <c r="AV26" i="16" s="1"/>
  <c r="AJ25" i="16"/>
  <c r="AV25" i="16" s="1"/>
  <c r="AJ24" i="16"/>
  <c r="AV24" i="16" s="1"/>
  <c r="AJ23" i="16"/>
  <c r="AV23" i="16" s="1"/>
  <c r="AJ22" i="16"/>
  <c r="AV22" i="16" s="1"/>
  <c r="AJ21" i="16"/>
  <c r="AV21" i="16" s="1"/>
  <c r="AJ20" i="16"/>
  <c r="AV20" i="16" s="1"/>
  <c r="AJ19" i="16"/>
  <c r="AV19" i="16" s="1"/>
  <c r="AJ18" i="16"/>
  <c r="AV18" i="16" s="1"/>
  <c r="AJ17" i="16"/>
  <c r="AV17" i="16" s="1"/>
  <c r="AJ16" i="16"/>
  <c r="AV16" i="16" s="1"/>
  <c r="AJ15" i="16"/>
  <c r="AV15" i="16" s="1"/>
  <c r="AJ14" i="16"/>
  <c r="AV14" i="16" s="1"/>
  <c r="AJ13" i="16"/>
  <c r="AV13" i="16" s="1"/>
  <c r="AJ12" i="16"/>
  <c r="AV12" i="16" s="1"/>
  <c r="AB3" i="16"/>
  <c r="P3" i="16"/>
  <c r="O90" i="16"/>
  <c r="AS3" i="16"/>
  <c r="AR3" i="16"/>
  <c r="AA35" i="16"/>
  <c r="Y35" i="16"/>
  <c r="Z35" i="16" s="1"/>
  <c r="Y4" i="16"/>
  <c r="Z4" i="16" s="1"/>
  <c r="AA4" i="16"/>
  <c r="Y5" i="16"/>
  <c r="Z5" i="16" s="1"/>
  <c r="AA5" i="16"/>
  <c r="Y8" i="16"/>
  <c r="Z8" i="16" s="1"/>
  <c r="AA8" i="16"/>
  <c r="Y9" i="16"/>
  <c r="Z9" i="16" s="1"/>
  <c r="AA9" i="16"/>
  <c r="Y10" i="16"/>
  <c r="Z10" i="16" s="1"/>
  <c r="AA10" i="16"/>
  <c r="Y11" i="16"/>
  <c r="Z11" i="16" s="1"/>
  <c r="AA11" i="16"/>
  <c r="Y12" i="16"/>
  <c r="Z12" i="16" s="1"/>
  <c r="AA12" i="16"/>
  <c r="Y13" i="16"/>
  <c r="Z13" i="16" s="1"/>
  <c r="AA13" i="16"/>
  <c r="Y14" i="16"/>
  <c r="Z14" i="16" s="1"/>
  <c r="AA14" i="16"/>
  <c r="Y15" i="16"/>
  <c r="Z15" i="16" s="1"/>
  <c r="AA15" i="16"/>
  <c r="Y21" i="16"/>
  <c r="Z21" i="16" s="1"/>
  <c r="AA21" i="16"/>
  <c r="Y22" i="16"/>
  <c r="Z22" i="16" s="1"/>
  <c r="AA22" i="16"/>
  <c r="Y23" i="16"/>
  <c r="Z23" i="16" s="1"/>
  <c r="AA23" i="16"/>
  <c r="Y24" i="16"/>
  <c r="Z24" i="16" s="1"/>
  <c r="AA24" i="16"/>
  <c r="Y25" i="16"/>
  <c r="Z25" i="16" s="1"/>
  <c r="AA25" i="16"/>
  <c r="AA6" i="16"/>
  <c r="AB6" i="16" s="1"/>
  <c r="Y6" i="16"/>
  <c r="Z6" i="16" s="1"/>
  <c r="Y7" i="16"/>
  <c r="Z7" i="16" s="1"/>
  <c r="AA7" i="16"/>
  <c r="Y37" i="16"/>
  <c r="Z37" i="16" s="1"/>
  <c r="AA37" i="16"/>
  <c r="Y38" i="16"/>
  <c r="Z38" i="16" s="1"/>
  <c r="AA38" i="16"/>
  <c r="Y40" i="16"/>
  <c r="Z40" i="16" s="1"/>
  <c r="AA40" i="16"/>
  <c r="Y42" i="16"/>
  <c r="Z42" i="16" s="1"/>
  <c r="AA42" i="16"/>
  <c r="AA44" i="16"/>
  <c r="Y44" i="16"/>
  <c r="Z44" i="16" s="1"/>
  <c r="AA63" i="16"/>
  <c r="Y63" i="16"/>
  <c r="Z63" i="16" s="1"/>
  <c r="AA64" i="16"/>
  <c r="Y64" i="16"/>
  <c r="Z64" i="16" s="1"/>
  <c r="Y46" i="16"/>
  <c r="Z46" i="16" s="1"/>
  <c r="AA46" i="16"/>
  <c r="AA56" i="16"/>
  <c r="Y56" i="16"/>
  <c r="Z56" i="16" s="1"/>
  <c r="AA57" i="16"/>
  <c r="Y57" i="16"/>
  <c r="Z57" i="16" s="1"/>
  <c r="AA58" i="16"/>
  <c r="Y58" i="16"/>
  <c r="Z58" i="16" s="1"/>
  <c r="AA59" i="16"/>
  <c r="Y59" i="16"/>
  <c r="Z59" i="16" s="1"/>
  <c r="AA60" i="16"/>
  <c r="Y60" i="16"/>
  <c r="Z60" i="16" s="1"/>
  <c r="AA61" i="16"/>
  <c r="Y61" i="16"/>
  <c r="Z61" i="16" s="1"/>
  <c r="AA62" i="16"/>
  <c r="Y62" i="16"/>
  <c r="Z62" i="16" s="1"/>
  <c r="Y49" i="16"/>
  <c r="Z49" i="16" s="1"/>
  <c r="AA49" i="16"/>
  <c r="Y52" i="16"/>
  <c r="Z52" i="16" s="1"/>
  <c r="AA52" i="16"/>
  <c r="Y54" i="16"/>
  <c r="Z54" i="16" s="1"/>
  <c r="AA54" i="16"/>
  <c r="Y65" i="16"/>
  <c r="Z65" i="16" s="1"/>
  <c r="AA65" i="16"/>
  <c r="Y66" i="16"/>
  <c r="Z66" i="16" s="1"/>
  <c r="AA66" i="16"/>
  <c r="Y67" i="16"/>
  <c r="Z67" i="16" s="1"/>
  <c r="AA67" i="16"/>
  <c r="Y68" i="16"/>
  <c r="Z68" i="16" s="1"/>
  <c r="AA68" i="16"/>
  <c r="Y69" i="16"/>
  <c r="Z69" i="16" s="1"/>
  <c r="AA69" i="16"/>
  <c r="AA70" i="16"/>
  <c r="Y70" i="16"/>
  <c r="Z70" i="16" s="1"/>
  <c r="AA16" i="16"/>
  <c r="AB16" i="16" s="1"/>
  <c r="Y16" i="16"/>
  <c r="Z16" i="16" s="1"/>
  <c r="Y17" i="16"/>
  <c r="Z17" i="16" s="1"/>
  <c r="AA17" i="16"/>
  <c r="AA18" i="16"/>
  <c r="Y18" i="16"/>
  <c r="Z18" i="16" s="1"/>
  <c r="AA19" i="16"/>
  <c r="Y19" i="16"/>
  <c r="Z19" i="16" s="1"/>
  <c r="Y20" i="16"/>
  <c r="Z20" i="16" s="1"/>
  <c r="AA20" i="16"/>
  <c r="AA26" i="16"/>
  <c r="Y26" i="16"/>
  <c r="Z26" i="16" s="1"/>
  <c r="AA27" i="16"/>
  <c r="Y27" i="16"/>
  <c r="Z27" i="16" s="1"/>
  <c r="AA28" i="16"/>
  <c r="Y28" i="16"/>
  <c r="Z28" i="16" s="1"/>
  <c r="AA29" i="16"/>
  <c r="Y29" i="16"/>
  <c r="Z29" i="16" s="1"/>
  <c r="AA30" i="16"/>
  <c r="Y30" i="16"/>
  <c r="Z30" i="16" s="1"/>
  <c r="AA31" i="16"/>
  <c r="Y31" i="16"/>
  <c r="Z31" i="16" s="1"/>
  <c r="AA32" i="16"/>
  <c r="Y32" i="16"/>
  <c r="Z32" i="16" s="1"/>
  <c r="AA33" i="16"/>
  <c r="Y33" i="16"/>
  <c r="Z33" i="16" s="1"/>
  <c r="AA34" i="16"/>
  <c r="Y34" i="16"/>
  <c r="Z34" i="16" s="1"/>
  <c r="AA36" i="16"/>
  <c r="Y36" i="16"/>
  <c r="Z36" i="16" s="1"/>
  <c r="Y39" i="16"/>
  <c r="Z39" i="16" s="1"/>
  <c r="AA39" i="16"/>
  <c r="Y41" i="16"/>
  <c r="Z41" i="16" s="1"/>
  <c r="AA41" i="16"/>
  <c r="AA43" i="16"/>
  <c r="Y43" i="16"/>
  <c r="Z43" i="16" s="1"/>
  <c r="AA45" i="16"/>
  <c r="Y45" i="16"/>
  <c r="Z45" i="16" s="1"/>
  <c r="AA47" i="16"/>
  <c r="Y47" i="16"/>
  <c r="Z47" i="16" s="1"/>
  <c r="AA48" i="16"/>
  <c r="Y48" i="16"/>
  <c r="Z48" i="16" s="1"/>
  <c r="AA50" i="16"/>
  <c r="Y50" i="16"/>
  <c r="Z50" i="16" s="1"/>
  <c r="AA51" i="16"/>
  <c r="Y51" i="16"/>
  <c r="Z51" i="16" s="1"/>
  <c r="AA53" i="16"/>
  <c r="Y53" i="16"/>
  <c r="Z53" i="16" s="1"/>
  <c r="Y55" i="16"/>
  <c r="Z55" i="16" s="1"/>
  <c r="AA55" i="16"/>
  <c r="AA71" i="16"/>
  <c r="Y71" i="16"/>
  <c r="Z71" i="16" s="1"/>
  <c r="AA72" i="16"/>
  <c r="Y72" i="16"/>
  <c r="Z72" i="16" s="1"/>
  <c r="AA73" i="16"/>
  <c r="Y73" i="16"/>
  <c r="Z73" i="16" s="1"/>
  <c r="Y74" i="16"/>
  <c r="Z74" i="16" s="1"/>
  <c r="AA74" i="16"/>
  <c r="AA75" i="16"/>
  <c r="Y75" i="16"/>
  <c r="Z75" i="16" s="1"/>
  <c r="Y3" i="16"/>
  <c r="Y76" i="16"/>
  <c r="Z76" i="16" s="1"/>
  <c r="AA76" i="16"/>
  <c r="Y77" i="16"/>
  <c r="Z77" i="16" s="1"/>
  <c r="AA77" i="16"/>
  <c r="Y78" i="16"/>
  <c r="Z78" i="16" s="1"/>
  <c r="AA78" i="16"/>
  <c r="Y79" i="16"/>
  <c r="Z79" i="16" s="1"/>
  <c r="AA79" i="16"/>
  <c r="Y80" i="16"/>
  <c r="Z80" i="16" s="1"/>
  <c r="AA80" i="16"/>
  <c r="Y81" i="16"/>
  <c r="Z81" i="16" s="1"/>
  <c r="AA81" i="16"/>
  <c r="Y82" i="16"/>
  <c r="Z82" i="16" s="1"/>
  <c r="AA82" i="16"/>
  <c r="Y83" i="16"/>
  <c r="Z83" i="16" s="1"/>
  <c r="AA83" i="16"/>
  <c r="Y84" i="16"/>
  <c r="Z84" i="16" s="1"/>
  <c r="AA84" i="16"/>
  <c r="Y85" i="16"/>
  <c r="Z85" i="16" s="1"/>
  <c r="AA85" i="16"/>
  <c r="Y86" i="16"/>
  <c r="Z86" i="16" s="1"/>
  <c r="AA86" i="16"/>
  <c r="Y87" i="16"/>
  <c r="Z87" i="16" s="1"/>
  <c r="AA87" i="16"/>
  <c r="Y88" i="16"/>
  <c r="Z88" i="16" s="1"/>
  <c r="AA88" i="16"/>
  <c r="Y89" i="16"/>
  <c r="Z89" i="16" s="1"/>
  <c r="AA89" i="16"/>
  <c r="H19" i="10"/>
  <c r="G19" i="10"/>
  <c r="AL5" i="16"/>
  <c r="AM5" i="16" s="1"/>
  <c r="AN5" i="16" s="1"/>
  <c r="AL8" i="16"/>
  <c r="AM8" i="16" s="1"/>
  <c r="AN8" i="16" s="1"/>
  <c r="AL10" i="16"/>
  <c r="AM10" i="16" s="1"/>
  <c r="AN10" i="16" s="1"/>
  <c r="AL4" i="16"/>
  <c r="AM4" i="16" s="1"/>
  <c r="AN4" i="16" s="1"/>
  <c r="AL6" i="16"/>
  <c r="AL7" i="16"/>
  <c r="AM7" i="16" s="1"/>
  <c r="AN7" i="16" s="1"/>
  <c r="AL9" i="16"/>
  <c r="AM9" i="16" s="1"/>
  <c r="AN9" i="16" s="1"/>
  <c r="AL11" i="16"/>
  <c r="AM11" i="16" s="1"/>
  <c r="AN11" i="16" s="1"/>
  <c r="J5" i="10"/>
  <c r="F25" i="10"/>
  <c r="I28" i="10"/>
  <c r="F56" i="10"/>
  <c r="O102" i="10"/>
  <c r="K13" i="4"/>
  <c r="AJ11" i="16"/>
  <c r="K12" i="4"/>
  <c r="AJ10" i="16"/>
  <c r="K11" i="4"/>
  <c r="AJ9" i="16"/>
  <c r="K10" i="4"/>
  <c r="AJ8" i="16"/>
  <c r="K9" i="4"/>
  <c r="AJ7" i="16"/>
  <c r="K8" i="4"/>
  <c r="AJ6" i="16"/>
  <c r="K7" i="4"/>
  <c r="AJ5" i="16"/>
  <c r="K6" i="4"/>
  <c r="AJ4" i="16"/>
  <c r="F37" i="8"/>
  <c r="H37" i="8" s="1"/>
  <c r="I37" i="8" s="1"/>
  <c r="K34" i="4"/>
  <c r="F36" i="8"/>
  <c r="H36" i="8" s="1"/>
  <c r="I36" i="8" s="1"/>
  <c r="K33" i="4"/>
  <c r="F35" i="8"/>
  <c r="H35" i="8" s="1"/>
  <c r="I35" i="8" s="1"/>
  <c r="K32" i="4"/>
  <c r="F34" i="8"/>
  <c r="H34" i="8" s="1"/>
  <c r="I34" i="8" s="1"/>
  <c r="K31" i="4"/>
  <c r="F33" i="8"/>
  <c r="H33" i="8" s="1"/>
  <c r="I33" i="8" s="1"/>
  <c r="K30" i="4"/>
  <c r="F32" i="8"/>
  <c r="H32" i="8" s="1"/>
  <c r="I32" i="8" s="1"/>
  <c r="K29" i="4"/>
  <c r="F31" i="8"/>
  <c r="H31" i="8" s="1"/>
  <c r="I31" i="8" s="1"/>
  <c r="K28" i="4"/>
  <c r="F30" i="8"/>
  <c r="H30" i="8" s="1"/>
  <c r="I30" i="8" s="1"/>
  <c r="K27" i="4"/>
  <c r="F29" i="8"/>
  <c r="H29" i="8" s="1"/>
  <c r="I29" i="8" s="1"/>
  <c r="K26" i="4"/>
  <c r="F28" i="8"/>
  <c r="H28" i="8" s="1"/>
  <c r="I28" i="8" s="1"/>
  <c r="K25" i="4"/>
  <c r="F27" i="8"/>
  <c r="H27" i="8" s="1"/>
  <c r="I27" i="8" s="1"/>
  <c r="K24" i="4"/>
  <c r="F26" i="8"/>
  <c r="H26" i="8" s="1"/>
  <c r="I26" i="8" s="1"/>
  <c r="K23" i="4"/>
  <c r="F25" i="8"/>
  <c r="H25" i="8" s="1"/>
  <c r="I25" i="8" s="1"/>
  <c r="K22" i="4"/>
  <c r="F24" i="8"/>
  <c r="H24" i="8" s="1"/>
  <c r="I24" i="8" s="1"/>
  <c r="K21" i="4"/>
  <c r="F23" i="8"/>
  <c r="H23" i="8" s="1"/>
  <c r="I23" i="8" s="1"/>
  <c r="K20" i="4"/>
  <c r="F22" i="8"/>
  <c r="H22" i="8" s="1"/>
  <c r="I22" i="8" s="1"/>
  <c r="K19" i="4"/>
  <c r="F21" i="8"/>
  <c r="H21" i="8" s="1"/>
  <c r="I21" i="8" s="1"/>
  <c r="K18" i="4"/>
  <c r="F20" i="8"/>
  <c r="H20" i="8" s="1"/>
  <c r="I20" i="8" s="1"/>
  <c r="K17" i="4"/>
  <c r="F19" i="8"/>
  <c r="H19" i="8" s="1"/>
  <c r="I19" i="8" s="1"/>
  <c r="K16" i="4"/>
  <c r="F18" i="8"/>
  <c r="H18" i="8" s="1"/>
  <c r="I18" i="8" s="1"/>
  <c r="K15" i="4"/>
  <c r="F17" i="8"/>
  <c r="H17" i="8" s="1"/>
  <c r="I17" i="8" s="1"/>
  <c r="K14" i="4"/>
  <c r="Q81" i="10"/>
  <c r="F16" i="8"/>
  <c r="H16" i="8" s="1"/>
  <c r="I16" i="8" s="1"/>
  <c r="P89" i="10"/>
  <c r="P88" i="10"/>
  <c r="F15" i="8"/>
  <c r="H15" i="8" s="1"/>
  <c r="I15" i="8" s="1"/>
  <c r="P87" i="10"/>
  <c r="F14" i="8"/>
  <c r="H14" i="8" s="1"/>
  <c r="I14" i="8" s="1"/>
  <c r="F13" i="8"/>
  <c r="H13" i="8" s="1"/>
  <c r="I13" i="8" s="1"/>
  <c r="P86" i="10"/>
  <c r="F12" i="8"/>
  <c r="H12" i="8" s="1"/>
  <c r="I12" i="8" s="1"/>
  <c r="P85" i="10"/>
  <c r="F11" i="8"/>
  <c r="H11" i="8" s="1"/>
  <c r="I11" i="8" s="1"/>
  <c r="P84" i="10"/>
  <c r="P83" i="10"/>
  <c r="F10" i="8"/>
  <c r="H10" i="8" s="1"/>
  <c r="I10" i="8" s="1"/>
  <c r="P82" i="10"/>
  <c r="F9" i="8"/>
  <c r="H9" i="8" s="1"/>
  <c r="I9" i="8" s="1"/>
  <c r="O54" i="13" l="1"/>
  <c r="J37" i="8"/>
  <c r="AR32" i="16" s="1"/>
  <c r="AT32" i="16" s="1"/>
  <c r="K37" i="8"/>
  <c r="K36" i="8"/>
  <c r="J36" i="8"/>
  <c r="AR31" i="16" s="1"/>
  <c r="AT31" i="16" s="1"/>
  <c r="K35" i="8"/>
  <c r="J35" i="8"/>
  <c r="AR30" i="16" s="1"/>
  <c r="AT30" i="16" s="1"/>
  <c r="K34" i="8"/>
  <c r="J34" i="8"/>
  <c r="AR29" i="16" s="1"/>
  <c r="AT29" i="16" s="1"/>
  <c r="K33" i="8"/>
  <c r="J33" i="8"/>
  <c r="AR28" i="16" s="1"/>
  <c r="AT28" i="16" s="1"/>
  <c r="J32" i="8"/>
  <c r="AR27" i="16" s="1"/>
  <c r="AT27" i="16" s="1"/>
  <c r="K32" i="8"/>
  <c r="J31" i="8"/>
  <c r="AR26" i="16" s="1"/>
  <c r="AT26" i="16" s="1"/>
  <c r="K31" i="8"/>
  <c r="J30" i="8"/>
  <c r="AR25" i="16" s="1"/>
  <c r="AT25" i="16" s="1"/>
  <c r="K30" i="8"/>
  <c r="J29" i="8"/>
  <c r="AR24" i="16" s="1"/>
  <c r="AT24" i="16" s="1"/>
  <c r="K29" i="8"/>
  <c r="J28" i="8"/>
  <c r="AR23" i="16" s="1"/>
  <c r="AT23" i="16" s="1"/>
  <c r="K28" i="8"/>
  <c r="J27" i="8"/>
  <c r="AR22" i="16" s="1"/>
  <c r="AT22" i="16" s="1"/>
  <c r="K27" i="8"/>
  <c r="J26" i="8"/>
  <c r="AR21" i="16" s="1"/>
  <c r="AT21" i="16" s="1"/>
  <c r="K26" i="8"/>
  <c r="J25" i="8"/>
  <c r="AR20" i="16" s="1"/>
  <c r="AT20" i="16" s="1"/>
  <c r="K25" i="8"/>
  <c r="J24" i="8"/>
  <c r="AR19" i="16" s="1"/>
  <c r="AT19" i="16" s="1"/>
  <c r="K24" i="8"/>
  <c r="J23" i="8"/>
  <c r="AR18" i="16" s="1"/>
  <c r="AT18" i="16" s="1"/>
  <c r="K23" i="8"/>
  <c r="K22" i="8"/>
  <c r="J22" i="8"/>
  <c r="AR17" i="16" s="1"/>
  <c r="AT17" i="16" s="1"/>
  <c r="J21" i="8"/>
  <c r="AR16" i="16" s="1"/>
  <c r="AT16" i="16" s="1"/>
  <c r="K21" i="8"/>
  <c r="J20" i="8"/>
  <c r="AR15" i="16" s="1"/>
  <c r="AT15" i="16" s="1"/>
  <c r="K20" i="8"/>
  <c r="J19" i="8"/>
  <c r="AR14" i="16" s="1"/>
  <c r="AT14" i="16" s="1"/>
  <c r="K19" i="8"/>
  <c r="J18" i="8"/>
  <c r="AR13" i="16" s="1"/>
  <c r="AT13" i="16" s="1"/>
  <c r="K18" i="8"/>
  <c r="J17" i="8"/>
  <c r="AR12" i="16" s="1"/>
  <c r="AT12" i="16" s="1"/>
  <c r="K17" i="8"/>
  <c r="AP11" i="16"/>
  <c r="J16" i="8"/>
  <c r="K16" i="8"/>
  <c r="AP10" i="16"/>
  <c r="J15" i="8"/>
  <c r="K15" i="8"/>
  <c r="AP9" i="16"/>
  <c r="K14" i="8"/>
  <c r="J14" i="8"/>
  <c r="AP8" i="16"/>
  <c r="J13" i="8"/>
  <c r="K13" i="8"/>
  <c r="AP7" i="16"/>
  <c r="J12" i="8"/>
  <c r="K12" i="8"/>
  <c r="AP6" i="16"/>
  <c r="J11" i="8"/>
  <c r="K11" i="8"/>
  <c r="AP5" i="16"/>
  <c r="K10" i="8"/>
  <c r="J10" i="8"/>
  <c r="AP4" i="16"/>
  <c r="J9" i="8"/>
  <c r="K9" i="8"/>
  <c r="AJ90" i="16"/>
  <c r="O40" i="13"/>
  <c r="AV3" i="16"/>
  <c r="AT3" i="16"/>
  <c r="Q40" i="13" s="1"/>
  <c r="AL90" i="16"/>
  <c r="AA90" i="16"/>
  <c r="Z3" i="16"/>
  <c r="Y90" i="16"/>
  <c r="AC35" i="16"/>
  <c r="AD35" i="16" s="1"/>
  <c r="AB35" i="16"/>
  <c r="AC4" i="16"/>
  <c r="AD4" i="16" s="1"/>
  <c r="AB4" i="16"/>
  <c r="AC5" i="16"/>
  <c r="AD5" i="16" s="1"/>
  <c r="AB5" i="16"/>
  <c r="AC8" i="16"/>
  <c r="AD8" i="16" s="1"/>
  <c r="AB8" i="16"/>
  <c r="AC9" i="16"/>
  <c r="AD9" i="16" s="1"/>
  <c r="AB9" i="16"/>
  <c r="AC10" i="16"/>
  <c r="AD10" i="16" s="1"/>
  <c r="AB10" i="16"/>
  <c r="AC11" i="16"/>
  <c r="AD11" i="16" s="1"/>
  <c r="AB11" i="16"/>
  <c r="AC12" i="16"/>
  <c r="AD12" i="16" s="1"/>
  <c r="AB12" i="16"/>
  <c r="AC13" i="16"/>
  <c r="AD13" i="16" s="1"/>
  <c r="AB13" i="16"/>
  <c r="AC14" i="16"/>
  <c r="AD14" i="16" s="1"/>
  <c r="AB14" i="16"/>
  <c r="AC15" i="16"/>
  <c r="AD15" i="16" s="1"/>
  <c r="AB15" i="16"/>
  <c r="AC21" i="16"/>
  <c r="AD21" i="16" s="1"/>
  <c r="AB21" i="16"/>
  <c r="AC22" i="16"/>
  <c r="AD22" i="16" s="1"/>
  <c r="AB22" i="16"/>
  <c r="AC23" i="16"/>
  <c r="AD23" i="16" s="1"/>
  <c r="AB23" i="16"/>
  <c r="AC24" i="16"/>
  <c r="AD24" i="16" s="1"/>
  <c r="AB24" i="16"/>
  <c r="AC25" i="16"/>
  <c r="AD25" i="16" s="1"/>
  <c r="AB25" i="16"/>
  <c r="AC7" i="16"/>
  <c r="AD7" i="16" s="1"/>
  <c r="AB7" i="16"/>
  <c r="AC37" i="16"/>
  <c r="AD37" i="16" s="1"/>
  <c r="AB37" i="16"/>
  <c r="AC38" i="16"/>
  <c r="AD38" i="16" s="1"/>
  <c r="AB38" i="16"/>
  <c r="AC40" i="16"/>
  <c r="AD40" i="16" s="1"/>
  <c r="AB40" i="16"/>
  <c r="AC42" i="16"/>
  <c r="AD42" i="16" s="1"/>
  <c r="AB42" i="16"/>
  <c r="AC44" i="16"/>
  <c r="AD44" i="16" s="1"/>
  <c r="AB44" i="16"/>
  <c r="AC63" i="16"/>
  <c r="AD63" i="16" s="1"/>
  <c r="AB63" i="16"/>
  <c r="AC64" i="16"/>
  <c r="AD64" i="16" s="1"/>
  <c r="AB64" i="16"/>
  <c r="AC46" i="16"/>
  <c r="AD46" i="16" s="1"/>
  <c r="AB46" i="16"/>
  <c r="AC56" i="16"/>
  <c r="AD56" i="16" s="1"/>
  <c r="AB56" i="16"/>
  <c r="AC57" i="16"/>
  <c r="AD57" i="16" s="1"/>
  <c r="AB57" i="16"/>
  <c r="AC58" i="16"/>
  <c r="AD58" i="16" s="1"/>
  <c r="AB58" i="16"/>
  <c r="AC59" i="16"/>
  <c r="AD59" i="16" s="1"/>
  <c r="AB59" i="16"/>
  <c r="AC60" i="16"/>
  <c r="AD60" i="16" s="1"/>
  <c r="AB60" i="16"/>
  <c r="AC61" i="16"/>
  <c r="AD61" i="16" s="1"/>
  <c r="AB61" i="16"/>
  <c r="AC62" i="16"/>
  <c r="AD62" i="16" s="1"/>
  <c r="AB62" i="16"/>
  <c r="AC49" i="16"/>
  <c r="AD49" i="16" s="1"/>
  <c r="AB49" i="16"/>
  <c r="AC52" i="16"/>
  <c r="AD52" i="16" s="1"/>
  <c r="AB52" i="16"/>
  <c r="AC54" i="16"/>
  <c r="AD54" i="16" s="1"/>
  <c r="AB54" i="16"/>
  <c r="AC65" i="16"/>
  <c r="AD65" i="16" s="1"/>
  <c r="AB65" i="16"/>
  <c r="AC66" i="16"/>
  <c r="AD66" i="16" s="1"/>
  <c r="AB66" i="16"/>
  <c r="AC67" i="16"/>
  <c r="AD67" i="16" s="1"/>
  <c r="AB67" i="16"/>
  <c r="AC68" i="16"/>
  <c r="AD68" i="16" s="1"/>
  <c r="AB68" i="16"/>
  <c r="AC69" i="16"/>
  <c r="AD69" i="16" s="1"/>
  <c r="AB69" i="16"/>
  <c r="AC70" i="16"/>
  <c r="AD70" i="16" s="1"/>
  <c r="AB70" i="16"/>
  <c r="AC17" i="16"/>
  <c r="AD17" i="16" s="1"/>
  <c r="AB17" i="16"/>
  <c r="AC18" i="16"/>
  <c r="AD18" i="16" s="1"/>
  <c r="AB18" i="16"/>
  <c r="AC19" i="16"/>
  <c r="AD19" i="16" s="1"/>
  <c r="AB19" i="16"/>
  <c r="AC20" i="16"/>
  <c r="AD20" i="16" s="1"/>
  <c r="AB20" i="16"/>
  <c r="AC26" i="16"/>
  <c r="AD26" i="16" s="1"/>
  <c r="AB26" i="16"/>
  <c r="AC27" i="16"/>
  <c r="AD27" i="16" s="1"/>
  <c r="AB27" i="16"/>
  <c r="AC28" i="16"/>
  <c r="AD28" i="16" s="1"/>
  <c r="AB28" i="16"/>
  <c r="AC29" i="16"/>
  <c r="AD29" i="16" s="1"/>
  <c r="AB29" i="16"/>
  <c r="AC30" i="16"/>
  <c r="AD30" i="16" s="1"/>
  <c r="AB30" i="16"/>
  <c r="AC31" i="16"/>
  <c r="AD31" i="16" s="1"/>
  <c r="AB31" i="16"/>
  <c r="AC32" i="16"/>
  <c r="AD32" i="16" s="1"/>
  <c r="AB32" i="16"/>
  <c r="AC33" i="16"/>
  <c r="AD33" i="16" s="1"/>
  <c r="AB33" i="16"/>
  <c r="AC34" i="16"/>
  <c r="AD34" i="16" s="1"/>
  <c r="AB34" i="16"/>
  <c r="AC36" i="16"/>
  <c r="AD36" i="16" s="1"/>
  <c r="AB36" i="16"/>
  <c r="AC39" i="16"/>
  <c r="AD39" i="16" s="1"/>
  <c r="AB39" i="16"/>
  <c r="AC41" i="16"/>
  <c r="AD41" i="16" s="1"/>
  <c r="AB41" i="16"/>
  <c r="AC43" i="16"/>
  <c r="AD43" i="16" s="1"/>
  <c r="AB43" i="16"/>
  <c r="AC45" i="16"/>
  <c r="AD45" i="16" s="1"/>
  <c r="AB45" i="16"/>
  <c r="AC47" i="16"/>
  <c r="AD47" i="16" s="1"/>
  <c r="AB47" i="16"/>
  <c r="AC48" i="16"/>
  <c r="AD48" i="16" s="1"/>
  <c r="AB48" i="16"/>
  <c r="AC50" i="16"/>
  <c r="AD50" i="16" s="1"/>
  <c r="AB50" i="16"/>
  <c r="AC51" i="16"/>
  <c r="AD51" i="16" s="1"/>
  <c r="AB51" i="16"/>
  <c r="AC53" i="16"/>
  <c r="AD53" i="16" s="1"/>
  <c r="AB53" i="16"/>
  <c r="AC55" i="16"/>
  <c r="AD55" i="16" s="1"/>
  <c r="AB55" i="16"/>
  <c r="AC71" i="16"/>
  <c r="AD71" i="16" s="1"/>
  <c r="AB71" i="16"/>
  <c r="AC72" i="16"/>
  <c r="AD72" i="16" s="1"/>
  <c r="AB72" i="16"/>
  <c r="AC73" i="16"/>
  <c r="AD73" i="16" s="1"/>
  <c r="AB73" i="16"/>
  <c r="AC74" i="16"/>
  <c r="AD74" i="16" s="1"/>
  <c r="AB74" i="16"/>
  <c r="AC75" i="16"/>
  <c r="AD75" i="16" s="1"/>
  <c r="AB75" i="16"/>
  <c r="AC76" i="16"/>
  <c r="AD76" i="16" s="1"/>
  <c r="AB76" i="16"/>
  <c r="AC77" i="16"/>
  <c r="AD77" i="16" s="1"/>
  <c r="AB77" i="16"/>
  <c r="AC78" i="16"/>
  <c r="AD78" i="16" s="1"/>
  <c r="AB78" i="16"/>
  <c r="AC79" i="16"/>
  <c r="AD79" i="16" s="1"/>
  <c r="AB79" i="16"/>
  <c r="AC80" i="16"/>
  <c r="AD80" i="16" s="1"/>
  <c r="AB80" i="16"/>
  <c r="AC81" i="16"/>
  <c r="AD81" i="16" s="1"/>
  <c r="AB81" i="16"/>
  <c r="AC82" i="16"/>
  <c r="AD82" i="16" s="1"/>
  <c r="AB82" i="16"/>
  <c r="AC83" i="16"/>
  <c r="AD83" i="16" s="1"/>
  <c r="AB83" i="16"/>
  <c r="AC84" i="16"/>
  <c r="AD84" i="16" s="1"/>
  <c r="AB84" i="16"/>
  <c r="AC85" i="16"/>
  <c r="AD85" i="16" s="1"/>
  <c r="AB85" i="16"/>
  <c r="AC86" i="16"/>
  <c r="AD86" i="16" s="1"/>
  <c r="AB86" i="16"/>
  <c r="AC87" i="16"/>
  <c r="AD87" i="16" s="1"/>
  <c r="AB87" i="16"/>
  <c r="AC88" i="16"/>
  <c r="AD88" i="16" s="1"/>
  <c r="AB88" i="16"/>
  <c r="AC89" i="16"/>
  <c r="AD89" i="16" s="1"/>
  <c r="AB89" i="16"/>
  <c r="P90" i="16"/>
  <c r="AC6" i="16"/>
  <c r="AM6" i="16"/>
  <c r="AN6" i="16" s="1"/>
  <c r="AN90" i="16" s="1"/>
  <c r="AC16" i="16"/>
  <c r="AD16" i="16" s="1"/>
  <c r="H25" i="10"/>
  <c r="J28" i="10"/>
  <c r="G56" i="10"/>
  <c r="AP32" i="16"/>
  <c r="L34" i="4"/>
  <c r="AP31" i="16"/>
  <c r="L33" i="4"/>
  <c r="AP30" i="16"/>
  <c r="L32" i="4"/>
  <c r="AP29" i="16"/>
  <c r="L31" i="4"/>
  <c r="AP28" i="16"/>
  <c r="L30" i="4"/>
  <c r="AP27" i="16"/>
  <c r="L29" i="4"/>
  <c r="AP26" i="16"/>
  <c r="L28" i="4"/>
  <c r="AP25" i="16"/>
  <c r="L27" i="4"/>
  <c r="AP24" i="16"/>
  <c r="L26" i="4"/>
  <c r="AP23" i="16"/>
  <c r="L25" i="4"/>
  <c r="AQ3" i="16"/>
  <c r="L24" i="4"/>
  <c r="AP22" i="16"/>
  <c r="L23" i="4"/>
  <c r="AP21" i="16"/>
  <c r="L22" i="4"/>
  <c r="AP20" i="16"/>
  <c r="L21" i="4"/>
  <c r="AP19" i="16"/>
  <c r="L20" i="4"/>
  <c r="AP18" i="16"/>
  <c r="L19" i="4"/>
  <c r="AP17" i="16"/>
  <c r="L18" i="4"/>
  <c r="AP16" i="16"/>
  <c r="L17" i="4"/>
  <c r="AP15" i="16"/>
  <c r="L16" i="4"/>
  <c r="AP14" i="16"/>
  <c r="L15" i="4"/>
  <c r="AP13" i="16"/>
  <c r="L14" i="4"/>
  <c r="AP12" i="16"/>
  <c r="R81" i="10"/>
  <c r="L13" i="4"/>
  <c r="Q89" i="10"/>
  <c r="L12" i="4"/>
  <c r="Q88" i="10"/>
  <c r="L11" i="4"/>
  <c r="Q87" i="10"/>
  <c r="L10" i="4"/>
  <c r="Q86" i="10"/>
  <c r="L9" i="4"/>
  <c r="Q85" i="10"/>
  <c r="L8" i="4"/>
  <c r="Q84" i="10"/>
  <c r="L7" i="4"/>
  <c r="Q83" i="10"/>
  <c r="L6" i="4"/>
  <c r="Q82" i="10"/>
  <c r="I5" i="10"/>
  <c r="E28" i="10"/>
  <c r="G28" i="10" s="1"/>
  <c r="H28" i="10" s="1"/>
  <c r="K5" i="10"/>
  <c r="H23" i="10"/>
  <c r="H59" i="13" l="1"/>
  <c r="Z90" i="16"/>
  <c r="O33" i="13"/>
  <c r="AU3" i="16"/>
  <c r="AM90" i="16"/>
  <c r="AB90" i="16"/>
  <c r="AC90" i="16"/>
  <c r="AD3" i="16"/>
  <c r="Q33" i="13" s="1"/>
  <c r="AD6" i="16"/>
  <c r="AS32" i="16"/>
  <c r="AQ32" i="16"/>
  <c r="AU32" i="16" s="1"/>
  <c r="AS31" i="16"/>
  <c r="AQ31" i="16"/>
  <c r="AU31" i="16" s="1"/>
  <c r="AS30" i="16"/>
  <c r="AQ30" i="16"/>
  <c r="AU30" i="16" s="1"/>
  <c r="AS29" i="16"/>
  <c r="AQ29" i="16"/>
  <c r="AU29" i="16" s="1"/>
  <c r="AQ28" i="16"/>
  <c r="AU28" i="16" s="1"/>
  <c r="AS28" i="16"/>
  <c r="AS27" i="16"/>
  <c r="AQ27" i="16"/>
  <c r="AU27" i="16" s="1"/>
  <c r="AS26" i="16"/>
  <c r="AQ26" i="16"/>
  <c r="AU26" i="16" s="1"/>
  <c r="AS25" i="16"/>
  <c r="AQ25" i="16"/>
  <c r="AU25" i="16" s="1"/>
  <c r="AS24" i="16"/>
  <c r="AQ24" i="16"/>
  <c r="AU24" i="16" s="1"/>
  <c r="AS23" i="16"/>
  <c r="AQ23" i="16"/>
  <c r="AU23" i="16" s="1"/>
  <c r="AS22" i="16"/>
  <c r="AQ22" i="16"/>
  <c r="AU22" i="16" s="1"/>
  <c r="AQ21" i="16"/>
  <c r="AU21" i="16" s="1"/>
  <c r="AS21" i="16"/>
  <c r="AQ20" i="16"/>
  <c r="AU20" i="16" s="1"/>
  <c r="AS20" i="16"/>
  <c r="AQ19" i="16"/>
  <c r="AU19" i="16" s="1"/>
  <c r="AS19" i="16"/>
  <c r="AQ18" i="16"/>
  <c r="AU18" i="16" s="1"/>
  <c r="AS18" i="16"/>
  <c r="AQ17" i="16"/>
  <c r="AU17" i="16" s="1"/>
  <c r="AS17" i="16"/>
  <c r="AQ16" i="16"/>
  <c r="AU16" i="16" s="1"/>
  <c r="AS16" i="16"/>
  <c r="AQ15" i="16"/>
  <c r="AU15" i="16" s="1"/>
  <c r="AS15" i="16"/>
  <c r="AQ14" i="16"/>
  <c r="AU14" i="16" s="1"/>
  <c r="AS14" i="16"/>
  <c r="AQ13" i="16"/>
  <c r="AU13" i="16" s="1"/>
  <c r="AS13" i="16"/>
  <c r="AQ12" i="16"/>
  <c r="AU12" i="16" s="1"/>
  <c r="AS12" i="16"/>
  <c r="AS11" i="16"/>
  <c r="AQ11" i="16"/>
  <c r="R89" i="10"/>
  <c r="AR11" i="16"/>
  <c r="AS10" i="16"/>
  <c r="AQ10" i="16"/>
  <c r="R88" i="10"/>
  <c r="AR10" i="16"/>
  <c r="AS9" i="16"/>
  <c r="AQ9" i="16"/>
  <c r="R87" i="10"/>
  <c r="AR9" i="16"/>
  <c r="AS8" i="16"/>
  <c r="AQ8" i="16"/>
  <c r="R86" i="10"/>
  <c r="AR8" i="16"/>
  <c r="AS7" i="16"/>
  <c r="AQ7" i="16"/>
  <c r="R85" i="10"/>
  <c r="AR7" i="16"/>
  <c r="AS6" i="16"/>
  <c r="AQ6" i="16"/>
  <c r="R84" i="10"/>
  <c r="AR6" i="16"/>
  <c r="AS5" i="16"/>
  <c r="AQ5" i="16"/>
  <c r="R83" i="10"/>
  <c r="AR5" i="16"/>
  <c r="AS4" i="16"/>
  <c r="AQ4" i="16"/>
  <c r="R82" i="10"/>
  <c r="AR4" i="16"/>
  <c r="F24" i="10"/>
  <c r="H24" i="10"/>
  <c r="I24" i="10"/>
  <c r="K40" i="13" l="1"/>
  <c r="J51" i="13"/>
  <c r="M40" i="13"/>
  <c r="AD90" i="16"/>
  <c r="AU9" i="16"/>
  <c r="AV11" i="16"/>
  <c r="AT11" i="16"/>
  <c r="AV10" i="16"/>
  <c r="AT10" i="16"/>
  <c r="AV9" i="16"/>
  <c r="AT9" i="16"/>
  <c r="AV8" i="16"/>
  <c r="AT8" i="16"/>
  <c r="AV7" i="16"/>
  <c r="AT7" i="16"/>
  <c r="AU6" i="16"/>
  <c r="AV6" i="16"/>
  <c r="AT6" i="16"/>
  <c r="AV5" i="16"/>
  <c r="AT5" i="16"/>
  <c r="AV4" i="16"/>
  <c r="AT4" i="16"/>
  <c r="AU11" i="16"/>
  <c r="AU10" i="16"/>
  <c r="AU5" i="16"/>
  <c r="AU8" i="16"/>
  <c r="AU7" i="16"/>
  <c r="AU4" i="16"/>
  <c r="M48" i="13" l="1"/>
  <c r="AV90" i="16"/>
  <c r="AT90" i="16"/>
</calcChain>
</file>

<file path=xl/sharedStrings.xml><?xml version="1.0" encoding="utf-8"?>
<sst xmlns="http://schemas.openxmlformats.org/spreadsheetml/2006/main" count="625" uniqueCount="457">
  <si>
    <t>🌎  CALCULADORA PROFESIONAL DE COSTOS DE IMPORTACIÓN</t>
  </si>
  <si>
    <t>P E R Ú   —   S I S T E M A   D E   G E S T I Ó N   A D U A N E R A</t>
  </si>
  <si>
    <t>La herramienta definitiva para calcular costos, tributos y precios de importación en el Perú</t>
  </si>
  <si>
    <t>✦  ¿QUÉ INCLUYE ESTA HERRAMIENTA?  ✦</t>
  </si>
  <si>
    <t xml:space="preserve">  📋  DATOS GENERALES</t>
  </si>
  <si>
    <t xml:space="preserve">  Registro completo del DUA, importador, Incoterm y parámetros tributarios configurables</t>
  </si>
  <si>
    <t xml:space="preserve">  🧾  FACTURA COMERCIAL</t>
  </si>
  <si>
    <t xml:space="preserve">  Ingreso de hasta 30+ productos con cálculo automático de FOB total y prorrateo unitario</t>
  </si>
  <si>
    <t xml:space="preserve">  📦  GASTOS DE IMPORTACIÓN</t>
  </si>
  <si>
    <t xml:space="preserve">  21 conceptos pre-cargados: handling, tracción, almacenaje, agente, transporte y más</t>
  </si>
  <si>
    <t xml:space="preserve">  ⚖️  TRIBUTOS ADUANEROS</t>
  </si>
  <si>
    <t xml:space="preserve">  Cálculo automático: CIF, ADV, IPM, IGV, Deuda Aduanera y Percepción según SUNAT</t>
  </si>
  <si>
    <t xml:space="preserve">  🧮  COSTOS POR PRODUCTO</t>
  </si>
  <si>
    <t xml:space="preserve">  Factor de prorrateo (6 dígitos) y costo unitario en USD y S/. para cada producto</t>
  </si>
  <si>
    <t xml:space="preserve">  💰  PRECIO DE VENTA</t>
  </si>
  <si>
    <t xml:space="preserve">  Margen global o por producto. VV = CT/(1-Margen%). Punto de equilibrio automático</t>
  </si>
  <si>
    <t xml:space="preserve">  🏦  CRÉDITO FISCAL</t>
  </si>
  <si>
    <t xml:space="preserve">  Detalle completo: IGV, IPM, Percepción y gastos afectos. Valor total recuperable en S/.</t>
  </si>
  <si>
    <t xml:space="preserve">  📊  DASHBOARD EJECUTIVO</t>
  </si>
  <si>
    <t xml:space="preserve">  8+ gráficos dinámicos: costos, tributos, márgenes, rentabilidad por producto y más</t>
  </si>
  <si>
    <t>✦  FLUJO DE TRABAJO — 8 PASOS SIMPLES  ✦</t>
  </si>
  <si>
    <t>PASO 1
Configura</t>
  </si>
  <si>
    <t>PASO 2
Carga</t>
  </si>
  <si>
    <t>PASO 3
Registra</t>
  </si>
  <si>
    <t>PASO 4
Automático</t>
  </si>
  <si>
    <t>PASO 5
Analiza</t>
  </si>
  <si>
    <t>PASO 6
Define</t>
  </si>
  <si>
    <t>PASO 7
Recupera</t>
  </si>
  <si>
    <t>PASO 8
Decide</t>
  </si>
  <si>
    <t>Datos generales, tipo de cambio y parámetros tributarios</t>
  </si>
  <si>
    <t>Productos de la factura comercial con FOB unitario</t>
  </si>
  <si>
    <t>Gastos de importación pagados a operadores y agentes</t>
  </si>
  <si>
    <t>El sistema calcula CIF, tributos y deuda aduanera</t>
  </si>
  <si>
    <t>Revisa el costo unitario y factor de prorrateo</t>
  </si>
  <si>
    <t>Establece tu margen y obtén precios de venta sugeridos</t>
  </si>
  <si>
    <t>Visualiza tu crédito fiscal total a recuperar</t>
  </si>
  <si>
    <t>Revisa el dashboard con todos los KPIs y gráficos</t>
  </si>
  <si>
    <t>✦  LEYENDA DE COLORES  ✦</t>
  </si>
  <si>
    <t>🟡 AMARILLO
Campo editable — ingresa tus datos aquí</t>
  </si>
  <si>
    <t>🟢 VERDE
Calculado automáticamente — no editar</t>
  </si>
  <si>
    <t>🔵 AZUL
Total o resumen principal de la sección</t>
  </si>
  <si>
    <t>🟠 NARANJA
Precio de venta o margen de ganancia</t>
  </si>
  <si>
    <t>⚠️  IMPORTANTE: Actualice el Tipo de Cambio antes de cada operación  |  Verifique el Ad Valorem con su Agente de Aduanas</t>
  </si>
  <si>
    <t>Versión 2.0  |  2026</t>
  </si>
  <si>
    <t>PASO 1 — 📋 DATOS GENERALES</t>
  </si>
  <si>
    <t>→ Complete todos los datos en color AMARILLO: DUA, razón social, RUC, fecha, país, proveedor, incoterm, canal.</t>
  </si>
  <si>
    <t>→ IMPORTANTE: Actualice el Tipo de Cambio USD→PEN antes de cada operación (fuente: SUNAT / BCR).</t>
  </si>
  <si>
    <t>→ Configure los parámetros tributarios: Ad Valorem según partida arancelaria (0%, 6% u 11%), percepción según tipo de importador.</t>
  </si>
  <si>
    <t>→ Tasas de percepción: 10% = primera importación / empresa nueva | 3.5% = producto nuevo importador frecuente | 5% = producto de segundo uso.</t>
  </si>
  <si>
    <t>PASO 2 — 🧾 FACTURA COMERCIAL</t>
  </si>
  <si>
    <t>→ Ingrese cada producto: descripción, unidad de medida, cantidad total y precio FOB unitario en USD.</t>
  </si>
  <si>
    <t>→ El sistema calcula automáticamente el FOB Total, el Factor de Prorrateo y el Costo Unitario.</t>
  </si>
  <si>
    <t>→ Puede manejar hasta 30 productos diferentes en una misma importación.</t>
  </si>
  <si>
    <t>PASO 3 — 📦 GASTOS DE IMPORTACIÓN</t>
  </si>
  <si>
    <t>→ Ingrese el monto de cada gasto pagado a los operadores: handling, descarga, tracción, almacenaje, transporte, etc.</t>
  </si>
  <si>
    <t>→ Los gastos marcados ⭐ son afectos a IGV (18%) y generan crédito fiscal.</t>
  </si>
  <si>
    <t>→ El Derecho de Emisión del Seguro y la Comisión del Agente se calculan automáticamente.</t>
  </si>
  <si>
    <t>→ Complete también los gastos administrativos y financieros (transferencias, intereses de letras, carta de crédito).</t>
  </si>
  <si>
    <t>PASO 4 — 🧾 TRIBUTOS ADUANA (automático)</t>
  </si>
  <si>
    <t>→ Esta hoja se calcula SOLA. Solo ingrese el monto del Flete Internacional (del BL / AWB).</t>
  </si>
  <si>
    <t>→ El sistema calcula: Suma Asegurada, Prima Neta, CIF, ADV, IPM, IGV, Deuda Aduanera y Percepción.</t>
  </si>
  <si>
    <t>PASO 5 — 🧮 COSTOS POR PRODUCTO (automático)</t>
  </si>
  <si>
    <t>→ Esta hoja se calcula SOLA. Muestra el Factor de Prorrateo y el Costo Unitario por producto en USD y S/.</t>
  </si>
  <si>
    <t>→ Fórmula: Factor = Costo Total Importación / FOB Total | Costo Unit. = Factor × FOB Unit.</t>
  </si>
  <si>
    <t>PASO 6 — 💰 PRECIO DE VENTA</t>
  </si>
  <si>
    <t>→ Ingrese su margen de ganancia global (celda amarilla arriba). Por defecto: 40% de utilidad.</t>
  </si>
  <si>
    <t>→ Puede personalizar el margen producto por producto modificando la columna E.</t>
  </si>
  <si>
    <t>→ El sistema calcula: Valor de Venta, Precio con IGV, Ganancia Unitaria y Punto de Equilibrio.</t>
  </si>
  <si>
    <t>→ Fórmula usada: VV = Costo Total / (1 - Margen%) — política de utilidad sobre el precio de venta.</t>
  </si>
  <si>
    <t>PASO 7 — 🏦 CRÉDITO FISCAL (automático)</t>
  </si>
  <si>
    <t>→ Esta hoja se calcula SOLA. Muestra todo el crédito fiscal que el importador puede recuperar.</t>
  </si>
  <si>
    <t>→ Incluye: IGV Seguro + IPM + IGV Aduanas + Percepción + IGV de gastos afectos.</t>
  </si>
  <si>
    <t>→ Recuerde: El Crédito Fiscal NO es costo — se recupera al vender y cobrar IGV.</t>
  </si>
  <si>
    <t>PASO 8 — 📊 DASHBOARD</t>
  </si>
  <si>
    <t>→ Vista ejecutiva con todos los KPIs: costo total, FOB, aranceles, crédito fiscal, margen global y utilidad.</t>
  </si>
  <si>
    <t>→ Incluye gráfico de desglose de costos y resumen de rentabilidad.</t>
  </si>
  <si>
    <t>LEYENDA DE COLORES</t>
  </si>
  <si>
    <t>🟡 AMARILLO = Campo editable por el usuario | 🟢 VERDE = Calculado automáticamente | 🔵 AZUL = Total o resumen</t>
  </si>
  <si>
    <t>⚠️  NOTAS IMPORTANTES</t>
  </si>
  <si>
    <t>⚠️  Actualice el tipo de cambio ANTES de cada cálculo.</t>
  </si>
  <si>
    <t>⚠️  Verifique el Ad Valorem con su agente aduanero según la partida arancelaria SUNAT.</t>
  </si>
  <si>
    <t>⚠️  Esta plantilla es una herramienta de estimación profesional — consulte siempre a un agente de aduanas certificado.</t>
  </si>
  <si>
    <t>📋 CALCULADORA DE COSTOS DE IMPORTACIÓN — PERÚ</t>
  </si>
  <si>
    <t>Complete los datos en AMARILLO 🟡. Los campos en VERDE 🟢 se calculan automáticamente.</t>
  </si>
  <si>
    <t xml:space="preserve">  📄 DATOS DE LA OPERACIÓN DE IMPORTACIÓN</t>
  </si>
  <si>
    <t>Número de DUA / DAM</t>
  </si>
  <si>
    <t>DAM-2025-000001</t>
  </si>
  <si>
    <t>Razón Social del Importador</t>
  </si>
  <si>
    <t>EMPRESA IMPORTADORA S.A.C.</t>
  </si>
  <si>
    <t>RUC del Importador</t>
  </si>
  <si>
    <t>20XXXXXXXXX</t>
  </si>
  <si>
    <t>Fecha de Numeración DAM</t>
  </si>
  <si>
    <t>24/02/2026</t>
  </si>
  <si>
    <t>País de Origen</t>
  </si>
  <si>
    <t>China</t>
  </si>
  <si>
    <t>Proveedor / Exportador</t>
  </si>
  <si>
    <t>HWPI Co. Ltd.</t>
  </si>
  <si>
    <t>Incoterm</t>
  </si>
  <si>
    <t>FOB</t>
  </si>
  <si>
    <t>Vía de Transporte</t>
  </si>
  <si>
    <t>Marítima</t>
  </si>
  <si>
    <t>Puerto de Embarque</t>
  </si>
  <si>
    <t>Shekou, China</t>
  </si>
  <si>
    <t>Puerto de Destino</t>
  </si>
  <si>
    <t>Callao, Perú</t>
  </si>
  <si>
    <t>Agente de Aduanas</t>
  </si>
  <si>
    <t>Agencia SAC</t>
  </si>
  <si>
    <t>Canal de Control</t>
  </si>
  <si>
    <t>Naranja</t>
  </si>
  <si>
    <t xml:space="preserve">  ⚖️ PARÁMETROS TRIBUTARIOS (Configuración)</t>
  </si>
  <si>
    <t>Tipo de Cambio USD → PEN</t>
  </si>
  <si>
    <t>Actualizar según SUNAT / BCR</t>
  </si>
  <si>
    <t>Ad Valorem — Arancel (%)</t>
  </si>
  <si>
    <t>0%, 6% u 11% según partida arancelaria</t>
  </si>
  <si>
    <t>IGV (%)</t>
  </si>
  <si>
    <t>Fijo 16%</t>
  </si>
  <si>
    <t>IPM (%)</t>
  </si>
  <si>
    <t>Fijo 2%</t>
  </si>
  <si>
    <t>Percepción IGV (%)</t>
  </si>
  <si>
    <t>10% nueva empresa / 3.5% producto nuevo / 5% segundo uso</t>
  </si>
  <si>
    <t>Prima Neta Seguro (%)</t>
  </si>
  <si>
    <t>% sobre la Suma Asegurada</t>
  </si>
  <si>
    <t>Derecho de Emisión Seguro (%)</t>
  </si>
  <si>
    <t>3% sobre Prima Neta — negociable</t>
  </si>
  <si>
    <t>Deducible Seguro (%)</t>
  </si>
  <si>
    <t>% del que somos responsables en siniestro</t>
  </si>
  <si>
    <t>Comisión Agente Aduanas (%)</t>
  </si>
  <si>
    <t>% sobre CIF (mín. S/. 100)</t>
  </si>
  <si>
    <t>IGV Servicios (%)</t>
  </si>
  <si>
    <t>18% (IGV 16% + IPM 2%)</t>
  </si>
  <si>
    <t>🟡 Amarillo = Dato editable   🟢 Verde = Calculado automáticamente   🔵 Azul = Total general</t>
  </si>
  <si>
    <t>🧾 FACTURA COMERCIAL — DETALLE DE PRODUCTOS</t>
  </si>
  <si>
    <t>Ingrese cada producto: descripción, unidad, cantidad y precio FOB unitario (USD).</t>
  </si>
  <si>
    <t>#</t>
  </si>
  <si>
    <t>DESCRIPCIÓN DEL PRODUCTO</t>
  </si>
  <si>
    <t>UNIDAD
MEDIDA</t>
  </si>
  <si>
    <t>CANTIDAD
(unid.)</t>
  </si>
  <si>
    <t>FOB UNIT.
(USD)</t>
  </si>
  <si>
    <t>FOB TOTAL
(USD)</t>
  </si>
  <si>
    <t>FACTOR
PRORRATEO</t>
  </si>
  <si>
    <t>COSTO
UNIT. (PEN)</t>
  </si>
  <si>
    <t>PRECIO
VENTA (PEN)</t>
  </si>
  <si>
    <t>Unid.</t>
  </si>
  <si>
    <t>Free Wheel Motor OPP Bag 21cm</t>
  </si>
  <si>
    <t>TOTAL FOB (USD)</t>
  </si>
  <si>
    <t>📦 GASTOS DE IMPORTACIÓN (Tercer Elemento)</t>
  </si>
  <si>
    <t>Ingrese el monto de cada gasto. Los gastos marcados con ⭐ están sujetos a IGV del 18%.</t>
  </si>
  <si>
    <t>CONCEPTO / GASTO</t>
  </si>
  <si>
    <t>MONTO (USD)</t>
  </si>
  <si>
    <t>AFECTO IGV</t>
  </si>
  <si>
    <t>NOTAS</t>
  </si>
  <si>
    <t>⭐ Derecho de Emisión (Seguro)</t>
  </si>
  <si>
    <t>SÍ</t>
  </si>
  <si>
    <t>Auto-calculado desde Tributos Aduana</t>
  </si>
  <si>
    <t>⭐ Handling</t>
  </si>
  <si>
    <t>Manipuleo de la carga</t>
  </si>
  <si>
    <t>⭐ Servicio de Descarga</t>
  </si>
  <si>
    <t>Descarga del contenedor</t>
  </si>
  <si>
    <t>⭐ Movilización de Carga</t>
  </si>
  <si>
    <t>Traslado interno del terminal</t>
  </si>
  <si>
    <t>⭐ Tracción</t>
  </si>
  <si>
    <t>Transporte del contenedor</t>
  </si>
  <si>
    <t>⭐ Servicio al Cliente (V°B°)</t>
  </si>
  <si>
    <t>Verificación de pago del flete</t>
  </si>
  <si>
    <t>⭐ Gastos Operativos Agente</t>
  </si>
  <si>
    <t>Gestión del despacho</t>
  </si>
  <si>
    <t>⭐ Almacenaje</t>
  </si>
  <si>
    <t>Días de almacén temporal</t>
  </si>
  <si>
    <t>⭐ Cargadores / Cuadrilla</t>
  </si>
  <si>
    <t>Personal de carga</t>
  </si>
  <si>
    <t>⭐ Serv. Administrativos</t>
  </si>
  <si>
    <t>Documentación</t>
  </si>
  <si>
    <t>⭐ Seguro de Contenedor</t>
  </si>
  <si>
    <t>Seguro de la carga en tránsito local</t>
  </si>
  <si>
    <t>⭐ Posicionamiento de Carga</t>
  </si>
  <si>
    <t>Reconocimiento físico si aplica</t>
  </si>
  <si>
    <t>⭐ Transporte Interno / Última Milla</t>
  </si>
  <si>
    <t>Traslado a almacenes del importador</t>
  </si>
  <si>
    <t>⭐ Precinto</t>
  </si>
  <si>
    <t>Precinto de contenedor</t>
  </si>
  <si>
    <t>⭐ Otros Gastos</t>
  </si>
  <si>
    <t>Gastos varios justificados</t>
  </si>
  <si>
    <t>⭐ Comisión del Agente de Aduanas</t>
  </si>
  <si>
    <t>Auto-calculado: MAX(1% CIF, USD 100)</t>
  </si>
  <si>
    <t>Gastos Administrativos Empresa</t>
  </si>
  <si>
    <t>NO</t>
  </si>
  <si>
    <t>Gastos internos asignados a esta op.</t>
  </si>
  <si>
    <t>Comisión por Transferencia Bancaria</t>
  </si>
  <si>
    <t>Comisión del banco por la transferencia</t>
  </si>
  <si>
    <t>Intereses de Letras</t>
  </si>
  <si>
    <t>Si se financia con letras (ver tabla)</t>
  </si>
  <si>
    <t>Emisión Carta de Crédito</t>
  </si>
  <si>
    <t>Si pago con carta de crédito</t>
  </si>
  <si>
    <t>Comisiones C/C</t>
  </si>
  <si>
    <t>1.2% CFR si aplica carta de crédito</t>
  </si>
  <si>
    <t>SUB-TOTAL AFECTOS A IGV (US$)</t>
  </si>
  <si>
    <t>SUB-TOTAL NO AFECTOS A IGV (US$)</t>
  </si>
  <si>
    <t>No genera IGV</t>
  </si>
  <si>
    <t>Tipo</t>
  </si>
  <si>
    <t>US$</t>
  </si>
  <si>
    <t>Afectos IGV</t>
  </si>
  <si>
    <t>No Afectos</t>
  </si>
  <si>
    <t>🧾 TRIBUTOS ADUANEROS — CÁLCULO AUTOMÁTICO</t>
  </si>
  <si>
    <t>Todos los valores se calculan automáticamente. Solo configure los parámetros en '📋 Datos Generales'.</t>
  </si>
  <si>
    <t xml:space="preserve">  🛡️ CÁLCULO DEL SEGURO (Prima Neta → Suma Asegurada)</t>
  </si>
  <si>
    <t>FOB Total (USD)</t>
  </si>
  <si>
    <t>Valor FOB total de la factura comercial</t>
  </si>
  <si>
    <t>Componente</t>
  </si>
  <si>
    <t>Monto US$</t>
  </si>
  <si>
    <t>Flete Internacional (USD)</t>
  </si>
  <si>
    <t>Monto del flete — copiar del BL/AWB</t>
  </si>
  <si>
    <t>Ad Valorem</t>
  </si>
  <si>
    <t>CFR = FOB + Flete (USD)</t>
  </si>
  <si>
    <t>Valor CFR = base para calcular SA</t>
  </si>
  <si>
    <t>IPM</t>
  </si>
  <si>
    <t>Suma Asegurada (USD)</t>
  </si>
  <si>
    <t>SA = CFR / (1 - deducible%) — Fórmula del libro</t>
  </si>
  <si>
    <t>IGV Aduanas</t>
  </si>
  <si>
    <t>Prima Neta (USD)</t>
  </si>
  <si>
    <t>Prima Neta = SA × 24%</t>
  </si>
  <si>
    <t>Percepción</t>
  </si>
  <si>
    <t>D. Emisión Seguro (USD)</t>
  </si>
  <si>
    <t>Derecho de Emisión = 3% × Prima Neta → va a Gastos</t>
  </si>
  <si>
    <t>IGV Seguro (USD)</t>
  </si>
  <si>
    <t>IGV sobre Prima Neta → va a Crédito Fiscal</t>
  </si>
  <si>
    <t>Seguro (Prima Neta) → CIF</t>
  </si>
  <si>
    <t>Prima Neta forma parte del CIF</t>
  </si>
  <si>
    <t>CIF = CFR + Prima Neta</t>
  </si>
  <si>
    <t>CIF = Valor en Aduanas</t>
  </si>
  <si>
    <t xml:space="preserve">  ⚖️ DEUDA ADUANERA (ADEUDO) — Pago a SUNAT-ADUANAS</t>
  </si>
  <si>
    <t>Ad Valorem — ADV (USD)</t>
  </si>
  <si>
    <t>ADV = CIF × Ad Valorem% — redondeado entero</t>
  </si>
  <si>
    <t>IPM (USD)</t>
  </si>
  <si>
    <t>IPM = (CIF + ADV) × 2% — redondeado</t>
  </si>
  <si>
    <t>IGV (USD)</t>
  </si>
  <si>
    <t>IGV = (CIF + ADV) × 16% — redondeado</t>
  </si>
  <si>
    <t>Flete</t>
  </si>
  <si>
    <t>DEUDA ADUANERA = DA (USD)</t>
  </si>
  <si>
    <t>DA = ADV + IPM + IGV</t>
  </si>
  <si>
    <t>Seguro</t>
  </si>
  <si>
    <t xml:space="preserve">  💸 PERCEPCIÓN IGV Y DERECHOS (costo real)</t>
  </si>
  <si>
    <t>Percepción IGV (USD)</t>
  </si>
  <si>
    <t>Base = CIF + DA — tasa según tipo importador</t>
  </si>
  <si>
    <t>DERECHOS = ADV (USD)</t>
  </si>
  <si>
    <t>Solo el ADV es costo (IPM e IGV = crédito fiscal)</t>
  </si>
  <si>
    <t>Comisión Agente (USD)</t>
  </si>
  <si>
    <t>Máx entre 1% CIF y mín USD 100</t>
  </si>
  <si>
    <t>🧮 COSTO DE IMPORTACIÓN POR PRODUCTO (Factor de Prorrateo)</t>
  </si>
  <si>
    <t>El Costo Unitario se calcula multiplicando el Factor de Prorrateo × FOB Unitario. Factor = C/M Total / FOB Total</t>
  </si>
  <si>
    <t>COSTO TOTAL DE IMPORTACIÓN (US$)</t>
  </si>
  <si>
    <t>FACTOR DE PRORRATEO = C/M Total (US$) / FOB Total (US$)</t>
  </si>
  <si>
    <t>PRODUCTO</t>
  </si>
  <si>
    <t>CANTIDAD</t>
  </si>
  <si>
    <t>C/M UNIT.
(USD)</t>
  </si>
  <si>
    <t>C/M UNIT.
(PEN)</t>
  </si>
  <si>
    <t>💰 PRECIO DE VENTA — POLÍTICA DE UTILIDADES</t>
  </si>
  <si>
    <t>Ingrese su margen de ganancia deseado. VV = Costo Total / (1 - Margen%) — Precio de Venta incluye IGV (18%).</t>
  </si>
  <si>
    <t>MARGEN
%</t>
  </si>
  <si>
    <t>VALOR VENTA
UNIT. (S/.)</t>
  </si>
  <si>
    <t>PRECIO VENTA
UNIT. c/IGV (S/.)</t>
  </si>
  <si>
    <t>GANANCIA
UNIT. (S/.)</t>
  </si>
  <si>
    <t>PUNTO
EQUILIBRIO</t>
  </si>
  <si>
    <t>🏦 CRÉDITO FISCAL DEL IMPORTADOR</t>
  </si>
  <si>
    <t>El Crédito Fiscal se recupera al vender los productos. IPM, IGV y Percepción NO son costo — se recuperan.</t>
  </si>
  <si>
    <t xml:space="preserve">  🏦 DETALLE DEL CRÉDITO FISCAL (en US$ — convertir a S/. con TC)</t>
  </si>
  <si>
    <t>IGV del Seguro (Crédito Fiscal)</t>
  </si>
  <si>
    <t>IGV pagado a Cía. de Seguros</t>
  </si>
  <si>
    <t>IPM — Derechos (Crédito Fiscal)</t>
  </si>
  <si>
    <t>IPM pagado a SUNAT-Aduanas</t>
  </si>
  <si>
    <t>IGV — Derechos (Crédito Fiscal)</t>
  </si>
  <si>
    <t>IGV pagado a SUNAT-Aduanas</t>
  </si>
  <si>
    <t>Percepción IGV (Crédito Fiscal)</t>
  </si>
  <si>
    <t>Percepción pagada — se recupera</t>
  </si>
  <si>
    <t>IGV Gastos Afectos (Crédito Fiscal)</t>
  </si>
  <si>
    <t>18% de gastos afectos</t>
  </si>
  <si>
    <t>✅ TOTAL CRÉDITO FISCAL (US$)</t>
  </si>
  <si>
    <t>✅ TOTAL CRÉDITO FISCAL (S/. PEN)</t>
  </si>
  <si>
    <t>📌 ¿QUÉ ES EL CRÉDITO FISCAL?
El IGV, IPM y la Percepción que pagas al importar NO son un costo definitivo.
Los recuperas cuando vendes tus productos y cobras IGV a tus clientes.
El importador declara ante SUNAT: IGV cobrado en ventas - Crédito Fiscal = IGV a pagar.
⚠️ SOLO el Ad Valorem (ADV) es un costo real de importación.</t>
  </si>
  <si>
    <t>📊  CALCULADORA DE COSTOS DE IMPORTACIÓN — DASHBOARD EJECUTIVO</t>
  </si>
  <si>
    <t>💰 COSTO TOTAL
IMPORTACIÓN
(S/.)</t>
  </si>
  <si>
    <t>📦 VALOR CIF
(US$)</t>
  </si>
  <si>
    <t>⚖️ ADV
ARANCEL
(US$)</t>
  </si>
  <si>
    <t>📋 DEUDA
ADUANERA
(US$)</t>
  </si>
  <si>
    <t>💹 INGRESOS
EST. TOTALES
(S/.)</t>
  </si>
  <si>
    <t>🏦 CRÉDITO
FISCAL
(US$)</t>
  </si>
  <si>
    <t>📈 MARGEN
GLOBAL
(%)</t>
  </si>
  <si>
    <t>🎯 PERCEPCIÓN
IGV
(US$)</t>
  </si>
  <si>
    <t>PERCEPCIÓN
IGV (US$)</t>
  </si>
  <si>
    <t>TIPO DE
CAMBIO (PEN)</t>
  </si>
  <si>
    <t>AD VALOREM
(%)</t>
  </si>
  <si>
    <t>PERCEPCIÓN
(%)</t>
  </si>
  <si>
    <t>CIF = VALOR
EN ADUANAS (US$)</t>
  </si>
  <si>
    <t xml:space="preserve">  📊 DESGLOSE DE COSTOS DE IMPORTACIÓN</t>
  </si>
  <si>
    <t>CONCEPTO</t>
  </si>
  <si>
    <t>MONTO (US$)</t>
  </si>
  <si>
    <t>MONTO (S/.)</t>
  </si>
  <si>
    <t>% DEL TOTAL</t>
  </si>
  <si>
    <t>Valor FOB Total</t>
  </si>
  <si>
    <t>Flete Internacional</t>
  </si>
  <si>
    <t>Seguro (Prima Neta)</t>
  </si>
  <si>
    <t>Aranceles (ADV)</t>
  </si>
  <si>
    <t>IGV + IPM Aduanas</t>
  </si>
  <si>
    <t>Percepción IGV</t>
  </si>
  <si>
    <t>Gastos de Importación</t>
  </si>
  <si>
    <t xml:space="preserve">  💹 RESUMEN DE RENTABILIDAD</t>
  </si>
  <si>
    <t>Costo Total Importación (S/.)</t>
  </si>
  <si>
    <t>Ingresos Totales si se vende todo (S/.)</t>
  </si>
  <si>
    <t>Utilidad Bruta Total (S/.)</t>
  </si>
  <si>
    <t>Margen Global Real (%)</t>
  </si>
  <si>
    <t>Crédito Fiscal a Favor (US$)</t>
  </si>
  <si>
    <t>Crédito Fiscal a Favor (S/.)</t>
  </si>
  <si>
    <t xml:space="preserve">  💹 ANÁLISIS DE RENTABILIDAD Y PRECIOS POR PRODUCTO</t>
  </si>
  <si>
    <t>🏷️ TOTAL
INGRESOS (S/.)</t>
  </si>
  <si>
    <t>📦 COSTO
TOTAL (S/.)</t>
  </si>
  <si>
    <t>💵 UTILIDAD
BRUTA (S/.)</t>
  </si>
  <si>
    <t>📊 MARGEN
NETO (%)</t>
  </si>
  <si>
    <t>🏦 CF a FAVOR
(US$)</t>
  </si>
  <si>
    <t>🏦 CF a FAVOR
(S/.)</t>
  </si>
  <si>
    <t>📦 PRODS.
IMPORTADOS</t>
  </si>
  <si>
    <t>💲 FOB
PROMEDIO (US$)</t>
  </si>
  <si>
    <t xml:space="preserve">  🏦 DETALLE CRÉDITO FISCAL vs COSTOS REALES</t>
  </si>
  <si>
    <t>TIPO</t>
  </si>
  <si>
    <t>Ad Valorem (COSTO REAL)</t>
  </si>
  <si>
    <t>💸 COSTO</t>
  </si>
  <si>
    <t>IPM (Crédito Fiscal)</t>
  </si>
  <si>
    <t>✅ CF</t>
  </si>
  <si>
    <t>IGV Aduanas (Crédito Fiscal)</t>
  </si>
  <si>
    <t>Percepción (Crédito Fiscal)</t>
  </si>
  <si>
    <t>IGV Seguro (Crédito Fiscal)</t>
  </si>
  <si>
    <t>IGV Gastos Afectos (CF)</t>
  </si>
  <si>
    <t>TOTAL CRÉDITO FISCAL (US$)</t>
  </si>
  <si>
    <t>COSTO REAL: ='🧾 Tributos Aduana'!C16&amp;" US$"</t>
  </si>
  <si>
    <t>S/.</t>
  </si>
  <si>
    <t>FOB Mercadería</t>
  </si>
  <si>
    <t>Gastos Operativos</t>
  </si>
  <si>
    <t>Gastos Admin/Fin.</t>
  </si>
  <si>
    <t>Tributo</t>
  </si>
  <si>
    <t>IGV Seguro</t>
  </si>
  <si>
    <t>Producto</t>
  </si>
  <si>
    <t>FOB Total US$</t>
  </si>
  <si>
    <t>C/M Unit PEN</t>
  </si>
  <si>
    <t>PV Unit PEN</t>
  </si>
  <si>
    <t>Ganancia Unit PEN</t>
  </si>
  <si>
    <t>Concepto</t>
  </si>
  <si>
    <t>IGV Gastos</t>
  </si>
  <si>
    <t>Costo Real (ADV)</t>
  </si>
  <si>
    <t>Crédito Fiscal</t>
  </si>
  <si>
    <t>📧 Herramienta desarrollada para uso profesional en comercio exterior peruano
Elaborado por : Rosalinda Jiménez Espinoza
By Sally Control Tower
Con Derechos de Autoria</t>
  </si>
  <si>
    <t>MARGEN DE UTILIDAD GLOBAL 
(aplica a todos — puedes personalizar por producto ↓)</t>
  </si>
  <si>
    <t xml:space="preserve">  🔍  ANÁLISIS DETALLADO POR PRODUCTO — TODOS LOS COSTOS, TRIBUTOS Y MÁRGENES</t>
  </si>
  <si>
    <t>📦 FOB TOTAL (US$):</t>
  </si>
  <si>
    <t>🚢 CIF (US$):</t>
  </si>
  <si>
    <t>⚖️ FACTOR PRORRATEO:</t>
  </si>
  <si>
    <t>💱 TIPO DE CAMBIO:</t>
  </si>
  <si>
    <t>📊 COSTO TOTAL (US$):</t>
  </si>
  <si>
    <t>🏦 CRÉDITO FISCAL (US$):</t>
  </si>
  <si>
    <t xml:space="preserve">  📦  SECCIÓN 1: IDENTIFICACIÓN DEL PRODUCTO Y VALOR FOB</t>
  </si>
  <si>
    <t>UNIDAD</t>
  </si>
  <si>
    <t>FOB UNIT.
(US$)</t>
  </si>
  <si>
    <t>FOB TOTAL
(US$)</t>
  </si>
  <si>
    <t>% PART.
FOB</t>
  </si>
  <si>
    <t>FOB UNIT.
(S/.)</t>
  </si>
  <si>
    <t>FOB TOTAL
(S/.)</t>
  </si>
  <si>
    <t>✦  TOTALES</t>
  </si>
  <si>
    <t xml:space="preserve">  ⚖️  SECCIÓN 2: TRIBUTOS ADUANEROS POR PRODUCTO (prorrateo por FOB)</t>
  </si>
  <si>
    <t>ADV UNIT.
(US$)
⚠️COSTO</t>
  </si>
  <si>
    <t>IPM UNIT.
(US$)
✅CF</t>
  </si>
  <si>
    <t>IGV UNIT.
(US$)
✅CF</t>
  </si>
  <si>
    <t>PERCEP.
UNIT.(US$)
✅CF</t>
  </si>
  <si>
    <t>DEUDA
ADUANERA
UNIT.</t>
  </si>
  <si>
    <t>ADV UNIT.
(S/.)</t>
  </si>
  <si>
    <t>IPM UNIT.
(S/.)</t>
  </si>
  <si>
    <t>IGV UNIT.
(S/.)</t>
  </si>
  <si>
    <t>PERCEP.
UNIT.(S/.)</t>
  </si>
  <si>
    <t>TOTAL TRIB.
UNIT.(US$)</t>
  </si>
  <si>
    <t>TOTAL TRIB.
UNIT.(S/.)</t>
  </si>
  <si>
    <t xml:space="preserve">  🧮  SECCIÓN 3: COSTO DE IMPORTACIÓN · CRÉDITO FISCAL · PRECIO DE VENTA · MARGEN</t>
  </si>
  <si>
    <t>GASTOS IMP.
UNIT.(US$)</t>
  </si>
  <si>
    <t>GASTOS IMP.
UNIT.(S/.)</t>
  </si>
  <si>
    <t>C/M UNIT.
(US$)</t>
  </si>
  <si>
    <t>C/M UNIT.
(S/.)</t>
  </si>
  <si>
    <t>ADV UNIT.
⚠️COSTO(US$)</t>
  </si>
  <si>
    <t>CF UNIT.
✅RECUP.(US$)</t>
  </si>
  <si>
    <t>CF UNIT.
✅RECUP.(S/.)</t>
  </si>
  <si>
    <t>VALOR VTA.
UNIT.(S/.)</t>
  </si>
  <si>
    <t>PRECIO VTA.
c/IGV(S/.)</t>
  </si>
  <si>
    <t>GANANCIA
UNIT.(S/.)</t>
  </si>
  <si>
    <t>GANANCIA
TOTAL(S/.)</t>
  </si>
  <si>
    <t>% UTILIDAD
S/PRECIO</t>
  </si>
  <si>
    <t>ROI
UNIT.</t>
  </si>
  <si>
    <t>CLASIF.
MARGEN</t>
  </si>
  <si>
    <t>✦  TOTALES Y PROMEDIOS</t>
  </si>
  <si>
    <t xml:space="preserve">  📊  SECCIÓN 4: RESUMEN VISUAL — TOP PRODUCTOS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</si>
  <si>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</si>
  <si>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</si>
  <si>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</si>
  <si>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</si>
  <si>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</si>
  <si>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</si>
  <si>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</si>
  <si>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</si>
  <si>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</si>
  <si>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C/M</t>
  </si>
  <si>
    <t>PV</t>
  </si>
  <si>
    <t>GAN.</t>
  </si>
  <si>
    <t>MARG.</t>
  </si>
  <si>
    <t>ROI</t>
  </si>
  <si>
    <t xml:space="preserve">  🔍  DETALLE POR PRODUCTO — Todos los valores se calculan automáticamente desde las hojas fuente  ·  © 2026</t>
  </si>
  <si>
    <t>Ganancia Total S/.</t>
  </si>
  <si>
    <t>C/M Unit S/.</t>
  </si>
  <si>
    <t>PV Unit S/.</t>
  </si>
  <si>
    <t>LISTA DE PRODUCTOS</t>
  </si>
  <si>
    <t>¿</t>
  </si>
  <si>
    <t>Case Transparente TPU iPhone 15</t>
  </si>
  <si>
    <t>Cable USB-C Trenzado 1m</t>
  </si>
  <si>
    <t>Protector Pantalla Vidrio Templado</t>
  </si>
  <si>
    <t>Audífonos In-Ear con Micrófono</t>
  </si>
  <si>
    <t>Cable Micro USB 2m Nylon</t>
  </si>
  <si>
    <t>Soporte Anillo Pop Socket Metálico</t>
  </si>
  <si>
    <t>Cargador Inalámbrico 15W Qi</t>
  </si>
  <si>
    <t>Case Wallet Cuero PU Samsung S24</t>
  </si>
  <si>
    <t>Adaptador USB-C a Jack 3.5mm</t>
  </si>
  <si>
    <t>='🧾 Factura Comercial'!E5:E34</t>
  </si>
  <si>
    <t>FOB UNIT. 
(US$)</t>
  </si>
  <si>
    <t>TOTAL PAGO
SUNAT
UNIT.(US$)</t>
  </si>
  <si>
    <t>ADV UNIT.
⚠️COSTO
(US$)</t>
  </si>
  <si>
    <t>CF UNIT.
✅RECUP.
(US$)</t>
  </si>
  <si>
    <t>⭐ TOTAL COSTOS IMPORTACIÓN (US$)</t>
  </si>
  <si>
    <t>FACTOR DE PRORRATEO = PV TOTAL / FOB TOTAL</t>
  </si>
  <si>
    <t>VALOR DE VENTA TOTAL SIN IGV  USD</t>
  </si>
  <si>
    <t>PARTICIPACIÓN</t>
  </si>
  <si>
    <t>DEUDA
ADUANERA
TOTAL</t>
  </si>
  <si>
    <t>IPM TOTAL
(S/.)2</t>
  </si>
  <si>
    <t>IGV TOTAL
(S/.)2</t>
  </si>
  <si>
    <t>PERCEP.
TOTAL.(S/.)2</t>
  </si>
  <si>
    <t>TOTAL PAGO
SUNAT
TOTAL(US$)</t>
  </si>
  <si>
    <t>TOTAL TRIB.
TOTAL .(S/.)</t>
  </si>
  <si>
    <t xml:space="preserve"> 🧮  SECCIÓN 3: COSTO DE IMPORTACIÓN · CRÉDITO FISCAL · PRECIO DE VENTA · MARGENARGEN</t>
  </si>
  <si>
    <t>GASTOS IMP.
TOTAL.(US$)2</t>
  </si>
  <si>
    <t>GASTOS IMP.
TOTAL.(S/.)2</t>
  </si>
  <si>
    <t>ADV TOTAL
(US$)
⚠️COSTO</t>
  </si>
  <si>
    <t>IPM TOTAL
(US$)
✅CF</t>
  </si>
  <si>
    <t>IGV  TOTAL
(US$)
✅CF</t>
  </si>
  <si>
    <t>PERCEP.
TOTAL.(US$)
✅CF</t>
  </si>
  <si>
    <t>ADV  TOTAL.
(S/.)</t>
  </si>
  <si>
    <t>CREDITO FISCAL POR PRODUCTO</t>
  </si>
  <si>
    <t>% PARTICIPACÓN</t>
  </si>
  <si>
    <t xml:space="preserve">                   📖 GUÍA COMPLETA DE USO — CALCULADORA DE COSTOS DE IMPORTACIÓN PERÚ</t>
  </si>
  <si>
    <t>Proforma Comercial y/o Factura Invoice</t>
  </si>
  <si>
    <t>Proforma o Liquidación del Agente de Aduana</t>
  </si>
  <si>
    <t>Derechos de Aduana</t>
  </si>
  <si>
    <t>Comisión del Agente</t>
  </si>
  <si>
    <t>Gastos de Nacionalizacion</t>
  </si>
  <si>
    <t>Transporte Interno</t>
  </si>
  <si>
    <t>DOCUMENTOS QUE DEBES DE TENER 
A LA MANO PARA LLENAR LA PLANTILLA</t>
  </si>
  <si>
    <t>-</t>
  </si>
  <si>
    <r>
      <rPr>
        <b/>
        <sz val="16"/>
        <color rgb="FFFF0000"/>
        <rFont val="Calibri"/>
        <family val="2"/>
      </rPr>
      <t>"📌 NOTA IMPORTANTE — USO DE LA PLANTILLA</t>
    </r>
    <r>
      <rPr>
        <sz val="11"/>
        <color theme="1"/>
        <rFont val="Calibri"/>
        <family val="2"/>
        <charset val="1"/>
      </rPr>
      <t xml:space="preserve">
</t>
    </r>
    <r>
      <rPr>
        <sz val="14"/>
        <color theme="1"/>
        <rFont val="Calibri"/>
        <family val="2"/>
      </rPr>
      <t xml:space="preserve">Esta calculadora está diseñada para ser usada por operación de importación.
Si realizas varias importaciones, te recomendamos seguir este flujo de trabajo:
1️⃣ Completa esta plantilla con los datos de tu importación actual.
2️⃣ Guarda el archivo con un nombre que identifique la operación — por ejemplo: Importación_Enero2026_China o DAM-2026-000001.
3️⃣ Para tu próxima importación, abre el archivo original, </t>
    </r>
    <r>
      <rPr>
        <b/>
        <u/>
        <sz val="14"/>
        <color theme="1"/>
        <rFont val="Calibri"/>
        <family val="2"/>
      </rPr>
      <t>haz una copia y renómbrala.</t>
    </r>
    <r>
      <rPr>
        <sz val="14"/>
        <color theme="1"/>
        <rFont val="Calibri"/>
        <family val="2"/>
      </rPr>
      <t xml:space="preserve">
De esta forma tendrás un historial ordenado de cada importación, con todos sus costos, tributos y márgenes guardados por separado.
✅ Así podrás comparar operaciones, identificar en cuál ganaste más y tomar mejores decisiones en cada nueva importación."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</si>
</sst>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-* #,##0.00_-;\-* #,##0.00_-;_-* &quot;-&quot;??_-;_-@_-"/>
    <numFmt numFmtId="164" formatCode="0.000"/>
    <numFmt numFmtId="165" formatCode="0.0%"/>
    <numFmt numFmtId="166" formatCode="#,##0.0000"/>
    <numFmt numFmtId="167" formatCode="0.000000"/>
    <numFmt numFmtId="168" formatCode="&quot;S/.&quot;#,##0.00"/>
    <numFmt numFmtId="169" formatCode="&quot;US$&quot;#,##0.00"/>
    <numFmt numFmtId="170" formatCode="&quot;IGV US$&quot;#,##0.00"/>
    <numFmt numFmtId="171" formatCode="&quot;S/.&quot;0.000"/>
    <numFmt numFmtId="172" formatCode="&quot;US$&quot;#,##0.000"/>
    <numFmt numFmtId="173" formatCode="&quot;S/.&quot;#,##0.000"/>
    <numFmt numFmtId="174" formatCode="#,##0&quot; unid.&quot;"/>
    <numFmt numFmtId="175" formatCode="[$$-409]#,##0.00"/>
    <numFmt numFmtId="176" formatCode="&quot;S/&quot;\ #,##0.00"/>
    <numFmt numFmtId="177" formatCode="[$$-540A]#,##0.00"/>
    <numFmt numFmtId="178" formatCode="_-* #,##0_-;\-* #,##0_-;_-* &quot;-&quot;??_-;_-@_-"/>
    <numFmt numFmtId="179" formatCode="&quot;S/&quot;\ #,##0.000"/>
    <numFmt numFmtId="180" formatCode="[$$-540A]#,##0.000"/>
    <numFmt numFmtId="181" formatCode="[$$-540A]#,##0"/>
    <numFmt numFmtId="182" formatCode="&quot;US$&quot;#,##0"/>
    <numFmt numFmtId="183" formatCode="&quot;S/.&quot;#,##0.0"/>
  </numFmts>
  <fonts count="140" x14ac:knownFonts="1">
    <font>
      <sz val="11"/>
      <color theme="1"/>
      <name val="Calibri"/>
      <family val="2"/>
      <charset val="1"/>
    </font>
    <font>
      <b/>
      <sz val="14"/>
      <color rgb="FFFFC000"/>
      <name val="Arial"/>
      <family val="2"/>
    </font>
    <font>
      <b/>
      <sz val="13"/>
      <color rgb="FF1F3864"/>
      <name val="Arial"/>
      <family val="2"/>
    </font>
    <font>
      <b/>
      <sz val="10"/>
      <color rgb="FFFFFFFF"/>
      <name val="Arial"/>
      <family val="2"/>
    </font>
    <font>
      <sz val="9"/>
      <color rgb="FF1F3864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8"/>
      <color rgb="FF1F3864"/>
      <name val="Arial"/>
      <family val="2"/>
    </font>
    <font>
      <b/>
      <sz val="11"/>
      <color rgb="FFFFFFFF"/>
      <name val="Arial"/>
      <family val="2"/>
    </font>
    <font>
      <b/>
      <sz val="8"/>
      <color rgb="FF1F3864"/>
      <name val="Arial"/>
      <family val="2"/>
    </font>
    <font>
      <b/>
      <sz val="9"/>
      <color rgb="FF1F3864"/>
      <name val="Arial"/>
      <family val="2"/>
    </font>
    <font>
      <i/>
      <sz val="9"/>
      <color rgb="FFFFFFFF"/>
      <name val="Arial"/>
      <family val="2"/>
    </font>
    <font>
      <b/>
      <sz val="9"/>
      <color rgb="FFFFC000"/>
      <name val="Arial"/>
      <family val="2"/>
    </font>
    <font>
      <b/>
      <sz val="14"/>
      <color rgb="FFFFFFFF"/>
      <name val="Arial"/>
      <family val="2"/>
    </font>
    <font>
      <sz val="10"/>
      <color rgb="FF000000"/>
      <name val="Arial"/>
      <family val="2"/>
    </font>
    <font>
      <i/>
      <sz val="9"/>
      <color rgb="FF1F3864"/>
      <name val="Arial"/>
      <family val="2"/>
    </font>
    <font>
      <sz val="9"/>
      <color rgb="FF000000"/>
      <name val="Arial"/>
      <family val="2"/>
    </font>
    <font>
      <sz val="10"/>
      <color rgb="FF0000FF"/>
      <name val="Arial"/>
      <family val="2"/>
    </font>
    <font>
      <i/>
      <sz val="8"/>
      <color rgb="FF595959"/>
      <name val="Arial"/>
      <family val="2"/>
    </font>
    <font>
      <b/>
      <sz val="9"/>
      <color rgb="FF00000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b/>
      <sz val="9"/>
      <color rgb="FF2E75B6"/>
      <name val="Arial"/>
      <family val="2"/>
    </font>
    <font>
      <b/>
      <sz val="9"/>
      <color rgb="FFC55A11"/>
      <name val="Arial"/>
      <family val="2"/>
    </font>
    <font>
      <b/>
      <sz val="9"/>
      <color rgb="FF008000"/>
      <name val="Arial"/>
      <family val="2"/>
    </font>
    <font>
      <b/>
      <sz val="9"/>
      <color rgb="FFC00000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b/>
      <sz val="11"/>
      <color rgb="FF2E75B6"/>
      <name val="Arial"/>
      <family val="2"/>
    </font>
    <font>
      <b/>
      <sz val="11"/>
      <color rgb="FF1F3864"/>
      <name val="Arial"/>
      <family val="2"/>
    </font>
    <font>
      <b/>
      <sz val="12"/>
      <color rgb="FFC55A11"/>
      <name val="Arial"/>
      <family val="2"/>
    </font>
    <font>
      <b/>
      <sz val="10"/>
      <color rgb="FF1F3864"/>
      <name val="Arial"/>
      <family val="2"/>
    </font>
    <font>
      <b/>
      <sz val="10"/>
      <color rgb="FF000000"/>
      <name val="Arial"/>
      <family val="2"/>
    </font>
    <font>
      <b/>
      <sz val="12"/>
      <color rgb="FF0000FF"/>
      <name val="Arial"/>
      <family val="2"/>
    </font>
    <font>
      <b/>
      <sz val="11"/>
      <color rgb="FF70AD47"/>
      <name val="Arial"/>
      <family val="2"/>
    </font>
    <font>
      <b/>
      <sz val="12"/>
      <color rgb="FFFFFFFF"/>
      <name val="Arial"/>
      <family val="2"/>
    </font>
    <font>
      <sz val="10"/>
      <color rgb="FF1F3864"/>
      <name val="Arial"/>
      <family val="2"/>
    </font>
    <font>
      <b/>
      <sz val="18"/>
      <color rgb="FFFFFFFF"/>
      <name val="Arial"/>
      <family val="2"/>
    </font>
    <font>
      <b/>
      <sz val="8"/>
      <color rgb="FFFFFFFF"/>
      <name val="Arial"/>
      <family val="2"/>
    </font>
    <font>
      <b/>
      <sz val="14"/>
      <color rgb="FF1F3864"/>
      <name val="Arial"/>
      <family val="2"/>
    </font>
    <font>
      <b/>
      <sz val="14"/>
      <color rgb="FF2E75B6"/>
      <name val="Arial"/>
      <family val="2"/>
    </font>
    <font>
      <b/>
      <sz val="14"/>
      <color rgb="FF1F6B75"/>
      <name val="Arial"/>
      <family val="2"/>
    </font>
    <font>
      <b/>
      <sz val="14"/>
      <color rgb="FFC55A11"/>
      <name val="Arial"/>
      <family val="2"/>
    </font>
    <font>
      <b/>
      <sz val="14"/>
      <color rgb="FF70AD47"/>
      <name val="Arial"/>
      <family val="2"/>
    </font>
    <font>
      <b/>
      <sz val="14"/>
      <color rgb="FF7030A0"/>
      <name val="Arial"/>
      <family val="2"/>
    </font>
    <font>
      <b/>
      <sz val="14"/>
      <color rgb="FFE74C3C"/>
      <name val="Arial"/>
      <family val="2"/>
    </font>
    <font>
      <b/>
      <sz val="14"/>
      <color rgb="FFB8860B"/>
      <name val="Arial"/>
      <family val="2"/>
    </font>
    <font>
      <b/>
      <sz val="13"/>
      <color rgb="FF2E75B6"/>
      <name val="Arial"/>
      <family val="2"/>
    </font>
    <font>
      <b/>
      <sz val="13"/>
      <color rgb="FF1F6B75"/>
      <name val="Arial"/>
      <family val="2"/>
    </font>
    <font>
      <b/>
      <sz val="13"/>
      <color rgb="FFC55A11"/>
      <name val="Arial"/>
      <family val="2"/>
    </font>
    <font>
      <b/>
      <sz val="13"/>
      <color rgb="FF70AD47"/>
      <name val="Arial"/>
      <family val="2"/>
    </font>
    <font>
      <b/>
      <sz val="13"/>
      <color rgb="FF7030A0"/>
      <name val="Arial"/>
      <family val="2"/>
    </font>
    <font>
      <b/>
      <sz val="13"/>
      <color rgb="FFB8860B"/>
      <name val="Arial"/>
      <family val="2"/>
    </font>
    <font>
      <b/>
      <sz val="13"/>
      <color rgb="FFE74C3C"/>
      <name val="Arial"/>
      <family val="2"/>
    </font>
    <font>
      <b/>
      <sz val="9"/>
      <color rgb="FF70AD47"/>
      <name val="Arial"/>
      <family val="2"/>
    </font>
    <font>
      <sz val="9"/>
      <color rgb="FF1F3864"/>
      <name val="Arial"/>
      <family val="2"/>
    </font>
    <font>
      <b/>
      <sz val="10"/>
      <color rgb="FFFFFFFF"/>
      <name val="Arial"/>
      <family val="2"/>
    </font>
    <font>
      <i/>
      <sz val="9"/>
      <color rgb="FF1F3864"/>
      <name val="Arial"/>
      <family val="2"/>
    </font>
    <font>
      <b/>
      <sz val="9"/>
      <color theme="0"/>
      <name val="Arial"/>
      <family val="2"/>
    </font>
    <font>
      <sz val="11"/>
      <color theme="0"/>
      <name val="Calibri"/>
      <family val="2"/>
      <charset val="1"/>
    </font>
    <font>
      <b/>
      <sz val="9"/>
      <name val="Arial"/>
      <family val="2"/>
    </font>
    <font>
      <b/>
      <sz val="9"/>
      <color theme="1" tint="0.499984740745262"/>
      <name val="Arial"/>
      <family val="2"/>
    </font>
    <font>
      <sz val="11"/>
      <color theme="1" tint="0.499984740745262"/>
      <name val="Calibri"/>
      <family val="2"/>
      <charset val="1"/>
    </font>
    <font>
      <b/>
      <sz val="10"/>
      <name val="Arial"/>
      <family val="2"/>
    </font>
    <font>
      <b/>
      <sz val="11"/>
      <name val="Arial"/>
      <family val="2"/>
    </font>
    <font>
      <b/>
      <sz val="15"/>
      <name val="Arial"/>
      <family val="2"/>
    </font>
    <font>
      <b/>
      <sz val="22"/>
      <name val="Arial"/>
      <family val="2"/>
    </font>
    <font>
      <i/>
      <sz val="12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sz val="11"/>
      <name val="Calibri"/>
      <family val="2"/>
      <charset val="1"/>
    </font>
    <font>
      <i/>
      <sz val="9"/>
      <color rgb="FFFFC000"/>
      <name val="Arial"/>
      <family val="2"/>
    </font>
    <font>
      <b/>
      <sz val="16"/>
      <name val="Arial"/>
      <family val="2"/>
    </font>
    <font>
      <b/>
      <sz val="10"/>
      <color rgb="FF000000"/>
      <name val="Arial"/>
      <family val="2"/>
    </font>
    <font>
      <b/>
      <sz val="12"/>
      <name val="Arial"/>
      <family val="2"/>
    </font>
    <font>
      <sz val="11"/>
      <color theme="0" tint="-0.34998626667073579"/>
      <name val="Cavolini"/>
      <family val="4"/>
    </font>
    <font>
      <sz val="14"/>
      <color theme="1" tint="0.34998626667073579"/>
      <name val="Calibri"/>
      <family val="2"/>
      <charset val="1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sz val="10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 tint="0.34998626667073579"/>
      <name val="Calibri"/>
      <family val="2"/>
      <charset val="1"/>
    </font>
    <font>
      <b/>
      <sz val="18"/>
      <color theme="0" tint="-0.499984740745262"/>
      <name val="Arial"/>
      <family val="2"/>
    </font>
    <font>
      <b/>
      <sz val="18"/>
      <color theme="0" tint="-0.34998626667073579"/>
      <name val="Arial"/>
      <family val="2"/>
    </font>
    <font>
      <sz val="11"/>
      <color theme="0" tint="-0.34998626667073579"/>
      <name val="Calibri"/>
      <family val="2"/>
    </font>
    <font>
      <sz val="10"/>
      <color theme="0" tint="-0.34998626667073579"/>
      <name val="Calibri"/>
      <family val="2"/>
    </font>
    <font>
      <i/>
      <sz val="8"/>
      <color theme="0" tint="-0.34998626667073579"/>
      <name val="Calibri"/>
      <family val="2"/>
    </font>
    <font>
      <b/>
      <sz val="20"/>
      <name val="Calibri"/>
      <family val="2"/>
    </font>
    <font>
      <sz val="11"/>
      <name val="Calibri"/>
      <family val="2"/>
    </font>
    <font>
      <sz val="11"/>
      <color theme="1" tint="0.34998626667073579"/>
      <name val="Calibri"/>
      <family val="2"/>
    </font>
    <font>
      <sz val="8"/>
      <color theme="1" tint="0.34998626667073579"/>
      <name val="Calibri"/>
      <family val="2"/>
    </font>
    <font>
      <b/>
      <sz val="9"/>
      <color theme="1" tint="0.34998626667073579"/>
      <name val="Calibri"/>
      <family val="2"/>
    </font>
    <font>
      <b/>
      <sz val="8"/>
      <color theme="1" tint="0.34998626667073579"/>
      <name val="Calibri"/>
      <family val="2"/>
    </font>
    <font>
      <b/>
      <sz val="10"/>
      <name val="Calibri"/>
      <family val="2"/>
    </font>
    <font>
      <b/>
      <sz val="7"/>
      <color theme="1" tint="0.34998626667073579"/>
      <name val="Calibri"/>
      <family val="2"/>
    </font>
    <font>
      <sz val="9"/>
      <color theme="1" tint="0.249977111117893"/>
      <name val="Calibri"/>
      <family val="2"/>
    </font>
    <font>
      <b/>
      <sz val="9"/>
      <color theme="1" tint="0.249977111117893"/>
      <name val="Calibri"/>
      <family val="2"/>
    </font>
    <font>
      <sz val="10"/>
      <color theme="1" tint="0.249977111117893"/>
      <name val="Calibri"/>
      <family val="2"/>
    </font>
    <font>
      <sz val="8"/>
      <color theme="1" tint="0.249977111117893"/>
      <name val="Calibri"/>
      <family val="2"/>
    </font>
    <font>
      <b/>
      <sz val="8"/>
      <color theme="1" tint="0.249977111117893"/>
      <name val="Calibri"/>
      <family val="2"/>
    </font>
    <font>
      <sz val="11"/>
      <color theme="1" tint="0.249977111117893"/>
      <name val="Calibri"/>
      <family val="2"/>
    </font>
    <font>
      <b/>
      <sz val="7"/>
      <color theme="1" tint="0.249977111117893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7"/>
      <color theme="1"/>
      <name val="Calibri"/>
      <family val="2"/>
    </font>
    <font>
      <sz val="7"/>
      <color theme="1" tint="0.249977111117893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</font>
    <font>
      <sz val="12"/>
      <color theme="1"/>
      <name val="Calibri"/>
      <family val="2"/>
      <charset val="1"/>
    </font>
    <font>
      <b/>
      <sz val="28"/>
      <color theme="1" tint="0.249977111117893"/>
      <name val="Calibri"/>
      <family val="2"/>
      <scheme val="minor"/>
    </font>
    <font>
      <b/>
      <sz val="24"/>
      <color theme="1" tint="0.249977111117893"/>
      <name val="Arial"/>
      <family val="2"/>
    </font>
    <font>
      <i/>
      <sz val="11"/>
      <color rgb="FF595959"/>
      <name val="Arial"/>
      <family val="2"/>
    </font>
    <font>
      <i/>
      <sz val="12"/>
      <color rgb="FF1F3864"/>
      <name val="Arial"/>
      <family val="2"/>
    </font>
    <font>
      <i/>
      <sz val="11"/>
      <color rgb="FF1F3864"/>
      <name val="Arial"/>
      <family val="2"/>
    </font>
    <font>
      <i/>
      <sz val="10"/>
      <color rgb="FF595959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8000"/>
      <name val="Arial"/>
      <family val="2"/>
    </font>
    <font>
      <sz val="11"/>
      <color rgb="FF0000FF"/>
      <name val="Arial"/>
      <family val="2"/>
    </font>
    <font>
      <b/>
      <sz val="11"/>
      <color theme="1" tint="0.14999847407452621"/>
      <name val="Calibri"/>
      <family val="2"/>
    </font>
    <font>
      <sz val="14"/>
      <color theme="1"/>
      <name val="Calibri"/>
      <family val="2"/>
    </font>
    <font>
      <b/>
      <sz val="14"/>
      <color theme="0"/>
      <name val="Calibri"/>
      <family val="2"/>
    </font>
    <font>
      <sz val="14"/>
      <color theme="1" tint="0.14999847407452621"/>
      <name val="Calibri"/>
      <family val="2"/>
    </font>
    <font>
      <sz val="16"/>
      <color theme="1"/>
      <name val="Calibri"/>
      <family val="2"/>
      <charset val="1"/>
    </font>
    <font>
      <sz val="20"/>
      <color theme="1"/>
      <name val="Calibri"/>
      <family val="2"/>
      <charset val="1"/>
    </font>
    <font>
      <sz val="20"/>
      <color theme="0"/>
      <name val="Calibri"/>
      <family val="2"/>
      <charset val="1"/>
    </font>
    <font>
      <sz val="18"/>
      <color theme="0"/>
      <name val="Calibri"/>
      <family val="2"/>
      <charset val="1"/>
    </font>
    <font>
      <b/>
      <sz val="18"/>
      <color theme="0"/>
      <name val="Arial"/>
      <family val="2"/>
    </font>
    <font>
      <sz val="16"/>
      <name val="Calibri"/>
      <family val="2"/>
      <charset val="1"/>
    </font>
    <font>
      <sz val="16"/>
      <color theme="0"/>
      <name val="Calibri"/>
      <family val="2"/>
      <charset val="1"/>
    </font>
    <font>
      <b/>
      <sz val="28"/>
      <color theme="0" tint="-0.34998626667073579"/>
      <name val="Arial"/>
      <family val="2"/>
    </font>
    <font>
      <b/>
      <sz val="12"/>
      <color rgb="FF595959"/>
      <name val="Arial"/>
      <family val="2"/>
    </font>
    <font>
      <b/>
      <sz val="20"/>
      <color theme="1"/>
      <name val="Eras Bold ITC"/>
      <family val="2"/>
    </font>
    <font>
      <i/>
      <sz val="12"/>
      <color theme="1"/>
      <name val="Calibri"/>
      <family val="2"/>
    </font>
    <font>
      <b/>
      <i/>
      <sz val="12"/>
      <color theme="1"/>
      <name val="Calibri"/>
      <family val="2"/>
    </font>
    <font>
      <b/>
      <sz val="20"/>
      <color theme="0"/>
      <name val="Eras Bold ITC"/>
      <family val="2"/>
    </font>
    <font>
      <b/>
      <sz val="16"/>
      <color rgb="FFFF0000"/>
      <name val="Calibri"/>
      <family val="2"/>
    </font>
    <font>
      <sz val="11"/>
      <color theme="1"/>
      <name val="Calibri"/>
      <family val="2"/>
    </font>
    <font>
      <b/>
      <u/>
      <sz val="14"/>
      <color theme="1"/>
      <name val="Calibri"/>
      <family val="2"/>
    </font>
  </fonts>
  <fills count="83">
    <fill>
      <patternFill patternType="none"/>
    </fill>
    <fill>
      <patternFill patternType="gray125"/>
    </fill>
    <fill>
      <patternFill patternType="solid">
        <fgColor rgb="FF1F3864"/>
        <bgColor rgb="FF3A608D"/>
      </patternFill>
    </fill>
    <fill>
      <patternFill patternType="solid">
        <fgColor rgb="FFFFC000"/>
        <bgColor rgb="FFFFC00B"/>
      </patternFill>
    </fill>
    <fill>
      <patternFill patternType="solid">
        <fgColor rgb="FF2E75B6"/>
        <bgColor rgb="FF4672A8"/>
      </patternFill>
    </fill>
    <fill>
      <patternFill patternType="solid">
        <fgColor rgb="FFFFF2CC"/>
        <bgColor rgb="FFFDF2DA"/>
      </patternFill>
    </fill>
    <fill>
      <patternFill patternType="solid">
        <fgColor rgb="FFDEEAF1"/>
        <bgColor rgb="FFD6E8EA"/>
      </patternFill>
    </fill>
    <fill>
      <patternFill patternType="solid">
        <fgColor rgb="FFBDD7EE"/>
        <bgColor rgb="FFD9D9D9"/>
      </patternFill>
    </fill>
    <fill>
      <patternFill patternType="solid">
        <fgColor rgb="FF1F6B75"/>
        <bgColor rgb="FF3A608D"/>
      </patternFill>
    </fill>
    <fill>
      <patternFill patternType="solid">
        <fgColor rgb="FFD6E8EA"/>
        <bgColor rgb="FFDEEAF1"/>
      </patternFill>
    </fill>
    <fill>
      <patternFill patternType="solid">
        <fgColor rgb="FFC55A11"/>
        <bgColor rgb="FFC0504D"/>
      </patternFill>
    </fill>
    <fill>
      <patternFill patternType="solid">
        <fgColor rgb="FFFCE4D6"/>
        <bgColor rgb="FFFDF2DA"/>
      </patternFill>
    </fill>
    <fill>
      <patternFill patternType="solid">
        <fgColor rgb="FF70AD47"/>
        <bgColor rgb="FF8AA64F"/>
      </patternFill>
    </fill>
    <fill>
      <patternFill patternType="solid">
        <fgColor rgb="FFE2EFDA"/>
        <bgColor rgb="FFDEEAF1"/>
      </patternFill>
    </fill>
    <fill>
      <patternFill patternType="solid">
        <fgColor rgb="FF7030A0"/>
        <bgColor rgb="FF5F4A78"/>
      </patternFill>
    </fill>
    <fill>
      <patternFill patternType="solid">
        <fgColor rgb="FFE8DAEF"/>
        <bgColor rgb="FFD9D9D9"/>
      </patternFill>
    </fill>
    <fill>
      <patternFill patternType="solid">
        <fgColor rgb="FFFFC00B"/>
        <bgColor rgb="FFFFC000"/>
      </patternFill>
    </fill>
    <fill>
      <patternFill patternType="solid">
        <fgColor rgb="FFF2F2F2"/>
        <bgColor rgb="FFFDF2DA"/>
      </patternFill>
    </fill>
    <fill>
      <patternFill patternType="solid">
        <fgColor rgb="FFC00000"/>
        <bgColor rgb="FF8F3B39"/>
      </patternFill>
    </fill>
    <fill>
      <patternFill patternType="solid">
        <fgColor rgb="FFFFFFFF"/>
        <bgColor rgb="FFF2F2F2"/>
      </patternFill>
    </fill>
    <fill>
      <patternFill patternType="solid">
        <fgColor rgb="FFE74C3C"/>
        <bgColor rgb="FFC0504D"/>
      </patternFill>
    </fill>
    <fill>
      <patternFill patternType="solid">
        <fgColor rgb="FFB8860B"/>
        <bgColor rgb="FFDC853E"/>
      </patternFill>
    </fill>
    <fill>
      <patternFill patternType="solid">
        <fgColor rgb="FFFDF2DA"/>
        <bgColor rgb="FFFFF2CC"/>
      </patternFill>
    </fill>
    <fill>
      <patternFill patternType="solid">
        <fgColor rgb="FF0A4174"/>
        <bgColor rgb="FF3A608D"/>
      </patternFill>
    </fill>
    <fill>
      <patternFill patternType="solid">
        <fgColor rgb="FF0A4174"/>
        <bgColor indexed="64"/>
      </patternFill>
    </fill>
    <fill>
      <patternFill patternType="solid">
        <fgColor theme="6" tint="0.39997558519241921"/>
        <bgColor rgb="FFDEEAF1"/>
      </patternFill>
    </fill>
    <fill>
      <patternFill patternType="solid">
        <fgColor theme="4" tint="0.39997558519241921"/>
        <bgColor rgb="FFD6E8EA"/>
      </patternFill>
    </fill>
    <fill>
      <patternFill patternType="solid">
        <fgColor rgb="FFFEFCA2"/>
        <bgColor rgb="FFFDF2DA"/>
      </patternFill>
    </fill>
    <fill>
      <patternFill patternType="solid">
        <fgColor rgb="FFFFE181"/>
        <bgColor rgb="FFFDF2DA"/>
      </patternFill>
    </fill>
    <fill>
      <patternFill patternType="solid">
        <fgColor rgb="FF4E8EA2"/>
        <bgColor indexed="64"/>
      </patternFill>
    </fill>
    <fill>
      <patternFill patternType="solid">
        <fgColor rgb="FF0A4174"/>
        <bgColor rgb="FF4672A8"/>
      </patternFill>
    </fill>
    <fill>
      <patternFill patternType="solid">
        <fgColor rgb="FF0A4174"/>
        <bgColor rgb="FFD6E8EA"/>
      </patternFill>
    </fill>
    <fill>
      <patternFill patternType="solid">
        <fgColor theme="0"/>
        <bgColor indexed="64"/>
      </patternFill>
    </fill>
    <fill>
      <patternFill patternType="solid">
        <fgColor rgb="FFF3F3F3"/>
        <bgColor rgb="FF3A608D"/>
      </patternFill>
    </fill>
    <fill>
      <patternFill patternType="solid">
        <fgColor rgb="FFACBBC8"/>
        <bgColor rgb="FF3A608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rgb="FF3A608D"/>
      </patternFill>
    </fill>
    <fill>
      <patternFill patternType="solid">
        <fgColor rgb="FFACBBC8"/>
        <bgColor rgb="FF4672A8"/>
      </patternFill>
    </fill>
    <fill>
      <patternFill patternType="solid">
        <fgColor rgb="FFACBBC8"/>
        <bgColor indexed="64"/>
      </patternFill>
    </fill>
    <fill>
      <patternFill patternType="solid">
        <fgColor rgb="FFACBBC8"/>
        <bgColor rgb="FFC0504D"/>
      </patternFill>
    </fill>
    <fill>
      <patternFill patternType="solid">
        <fgColor theme="0" tint="-4.9989318521683403E-2"/>
        <bgColor rgb="FF4672A8"/>
      </patternFill>
    </fill>
    <fill>
      <patternFill patternType="solid">
        <fgColor theme="0"/>
        <bgColor rgb="FF4672A8"/>
      </patternFill>
    </fill>
    <fill>
      <patternFill patternType="solid">
        <fgColor rgb="FF8EA2B3"/>
        <bgColor indexed="64"/>
      </patternFill>
    </fill>
    <fill>
      <patternFill patternType="solid">
        <fgColor theme="0" tint="-4.9989318521683403E-2"/>
        <bgColor rgb="FF161B22"/>
      </patternFill>
    </fill>
    <fill>
      <patternFill patternType="solid">
        <fgColor theme="0" tint="-4.9989318521683403E-2"/>
        <bgColor rgb="FF1A1A2B"/>
      </patternFill>
    </fill>
    <fill>
      <patternFill patternType="solid">
        <fgColor theme="0" tint="-4.9989318521683403E-2"/>
        <bgColor rgb="FF00C8F0"/>
      </patternFill>
    </fill>
    <fill>
      <patternFill patternType="solid">
        <fgColor theme="0" tint="-4.9989318521683403E-2"/>
        <bgColor rgb="FF00D4FF"/>
      </patternFill>
    </fill>
    <fill>
      <patternFill patternType="solid">
        <fgColor theme="0" tint="-4.9989318521683403E-2"/>
        <bgColor rgb="FF00B0CF"/>
      </patternFill>
    </fill>
    <fill>
      <patternFill patternType="solid">
        <fgColor theme="0" tint="-4.9989318521683403E-2"/>
        <bgColor rgb="FF00FFC6"/>
      </patternFill>
    </fill>
    <fill>
      <patternFill patternType="solid">
        <fgColor theme="0" tint="-4.9989318521683403E-2"/>
        <bgColor rgb="FFFFC000"/>
      </patternFill>
    </fill>
    <fill>
      <patternFill patternType="solid">
        <fgColor theme="0" tint="-4.9989318521683403E-2"/>
        <bgColor rgb="FFFF6D36"/>
      </patternFill>
    </fill>
    <fill>
      <patternFill patternType="solid">
        <fgColor theme="0" tint="-4.9989318521683403E-2"/>
        <bgColor rgb="FFFF3CAC"/>
      </patternFill>
    </fill>
    <fill>
      <patternFill patternType="solid">
        <fgColor theme="0" tint="-4.9989318521683403E-2"/>
        <bgColor rgb="FFBF5FFF"/>
      </patternFill>
    </fill>
    <fill>
      <patternFill patternType="solid">
        <fgColor theme="0" tint="-4.9989318521683403E-2"/>
        <bgColor rgb="FF1C2333"/>
      </patternFill>
    </fill>
    <fill>
      <patternFill patternType="solid">
        <fgColor theme="0" tint="-4.9989318521683403E-2"/>
        <bgColor rgb="FF2B2209"/>
      </patternFill>
    </fill>
    <fill>
      <patternFill patternType="solid">
        <fgColor theme="0" tint="-4.9989318521683403E-2"/>
        <bgColor rgb="FF0D2B1A"/>
      </patternFill>
    </fill>
    <fill>
      <patternFill patternType="solid">
        <fgColor theme="0" tint="-4.9989318521683403E-2"/>
        <bgColor rgb="FF0D2B2B"/>
      </patternFill>
    </fill>
    <fill>
      <patternFill patternType="solid">
        <fgColor theme="0" tint="-4.9989318521683403E-2"/>
        <bgColor rgb="FF2B1A0D"/>
      </patternFill>
    </fill>
    <fill>
      <patternFill patternType="solid">
        <fgColor rgb="FFACBBC8"/>
        <bgColor rgb="FF161B22"/>
      </patternFill>
    </fill>
    <fill>
      <patternFill patternType="solid">
        <fgColor rgb="FFA9C9D3"/>
        <bgColor rgb="FF1A1A2B"/>
      </patternFill>
    </fill>
    <fill>
      <patternFill patternType="solid">
        <fgColor rgb="FFA9C9D3"/>
        <bgColor indexed="64"/>
      </patternFill>
    </fill>
    <fill>
      <patternFill patternType="solid">
        <fgColor rgb="FFBDD8E9"/>
        <bgColor rgb="FF1A1A2B"/>
      </patternFill>
    </fill>
    <fill>
      <patternFill patternType="solid">
        <fgColor rgb="FFACBBC8"/>
        <bgColor rgb="FF1A1A2B"/>
      </patternFill>
    </fill>
    <fill>
      <patternFill patternType="solid">
        <fgColor rgb="FF6EA2B3"/>
        <bgColor rgb="FF1A1A2B"/>
      </patternFill>
    </fill>
    <fill>
      <patternFill patternType="solid">
        <fgColor rgb="FF4E8EA2"/>
        <bgColor rgb="FF1A1A2B"/>
      </patternFill>
    </fill>
    <fill>
      <patternFill patternType="solid">
        <fgColor rgb="FF8EA2B3"/>
        <bgColor rgb="FF1A1A2B"/>
      </patternFill>
    </fill>
    <fill>
      <patternFill patternType="solid">
        <fgColor rgb="FF8EA2B3"/>
        <bgColor rgb="FF1C2333"/>
      </patternFill>
    </fill>
    <fill>
      <patternFill patternType="solid">
        <fgColor rgb="FF8EA2B3"/>
        <bgColor rgb="FF0D2B1A"/>
      </patternFill>
    </fill>
    <fill>
      <patternFill patternType="solid">
        <fgColor rgb="FF8EA2B3"/>
        <bgColor rgb="FF0D2B2B"/>
      </patternFill>
    </fill>
    <fill>
      <patternFill patternType="solid">
        <fgColor rgb="FF8EA2B3"/>
        <bgColor rgb="FF2B2209"/>
      </patternFill>
    </fill>
    <fill>
      <patternFill patternType="solid">
        <fgColor rgb="FF8EA2B3"/>
        <bgColor rgb="FF2B1A0D"/>
      </patternFill>
    </fill>
    <fill>
      <patternFill patternType="solid">
        <fgColor rgb="FF8EA2B3"/>
        <bgColor rgb="FF161B22"/>
      </patternFill>
    </fill>
    <fill>
      <patternFill patternType="solid">
        <fgColor rgb="FF49769F"/>
        <bgColor indexed="64"/>
      </patternFill>
    </fill>
    <fill>
      <gradientFill degree="90">
        <stop position="0">
          <color theme="0"/>
        </stop>
        <stop position="0.5">
          <color rgb="FFA9C9D3"/>
        </stop>
        <stop position="1">
          <color theme="0"/>
        </stop>
      </gradientFill>
    </fill>
    <fill>
      <patternFill patternType="solid">
        <fgColor theme="9" tint="0.59999389629810485"/>
        <bgColor indexed="64"/>
      </patternFill>
    </fill>
    <fill>
      <patternFill patternType="solid">
        <fgColor rgb="FFFFFF85"/>
        <bgColor indexed="64"/>
      </patternFill>
    </fill>
    <fill>
      <patternFill patternType="solid">
        <fgColor theme="8" tint="0.79998168889431442"/>
        <bgColor rgb="FF4672A8"/>
      </patternFill>
    </fill>
    <fill>
      <patternFill patternType="solid">
        <fgColor theme="3"/>
        <bgColor indexed="64"/>
      </patternFill>
    </fill>
    <fill>
      <patternFill patternType="solid">
        <fgColor rgb="FFFFFF85"/>
        <bgColor rgb="FFDEEAF1"/>
      </patternFill>
    </fill>
    <fill>
      <patternFill patternType="solid">
        <fgColor rgb="FFFFFF85"/>
        <bgColor rgb="FFFDF2DA"/>
      </patternFill>
    </fill>
    <fill>
      <patternFill patternType="solid">
        <fgColor theme="0" tint="-0.14999847407452621"/>
        <bgColor rgb="FFFDF2DA"/>
      </patternFill>
    </fill>
    <fill>
      <patternFill patternType="solid">
        <fgColor rgb="FFFFFFB3"/>
        <bgColor rgb="FFFDF2DA"/>
      </patternFill>
    </fill>
  </fills>
  <borders count="97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 style="medium">
        <color rgb="FF1F6B75"/>
      </left>
      <right style="medium">
        <color rgb="FF1F6B75"/>
      </right>
      <top style="medium">
        <color rgb="FF1F6B75"/>
      </top>
      <bottom style="medium">
        <color rgb="FF1F6B75"/>
      </bottom>
      <diagonal/>
    </border>
    <border>
      <left style="thin">
        <color rgb="FF1F6B75"/>
      </left>
      <right/>
      <top style="thin">
        <color rgb="FF1F6B75"/>
      </top>
      <bottom style="thin">
        <color rgb="FF1F6B75"/>
      </bottom>
      <diagonal/>
    </border>
    <border>
      <left style="medium">
        <color rgb="FFC55A11"/>
      </left>
      <right style="medium">
        <color rgb="FFC55A11"/>
      </right>
      <top style="medium">
        <color rgb="FFC55A11"/>
      </top>
      <bottom style="medium">
        <color rgb="FFC55A11"/>
      </bottom>
      <diagonal/>
    </border>
    <border>
      <left style="thin">
        <color rgb="FFC55A11"/>
      </left>
      <right/>
      <top style="thin">
        <color rgb="FFC55A11"/>
      </top>
      <bottom style="thin">
        <color rgb="FFC55A11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thin">
        <color rgb="FF70AD47"/>
      </left>
      <right/>
      <top style="thin">
        <color rgb="FF70AD47"/>
      </top>
      <bottom style="thin">
        <color rgb="FF70AD47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1F6B75"/>
      </left>
      <right style="thin">
        <color rgb="FF1F6B75"/>
      </right>
      <top style="thin">
        <color rgb="FF1F6B75"/>
      </top>
      <bottom style="thin">
        <color rgb="FF1F6B75"/>
      </bottom>
      <diagonal/>
    </border>
    <border>
      <left style="thin">
        <color rgb="FFC55A11"/>
      </left>
      <right style="thin">
        <color rgb="FFC55A11"/>
      </right>
      <top style="thin">
        <color rgb="FFC55A11"/>
      </top>
      <bottom style="thin">
        <color rgb="FFC55A11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75B6"/>
      </left>
      <right/>
      <top style="medium">
        <color rgb="FF2E75B6"/>
      </top>
      <bottom/>
      <diagonal/>
    </border>
    <border>
      <left style="medium">
        <color rgb="FFE74C3C"/>
      </left>
      <right style="medium">
        <color rgb="FFE74C3C"/>
      </right>
      <top style="medium">
        <color rgb="FFE74C3C"/>
      </top>
      <bottom style="medium">
        <color rgb="FFE74C3C"/>
      </bottom>
      <diagonal/>
    </border>
    <border>
      <left style="medium">
        <color rgb="FFB8860B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1F6B75"/>
      </left>
      <right/>
      <top style="medium">
        <color rgb="FF1F6B75"/>
      </top>
      <bottom style="medium">
        <color rgb="FF1F6B75"/>
      </bottom>
      <diagonal/>
    </border>
    <border>
      <left style="medium">
        <color rgb="FFFFC00B"/>
      </left>
      <right style="medium">
        <color rgb="FFFFC00B"/>
      </right>
      <top style="medium">
        <color rgb="FFFFC00B"/>
      </top>
      <bottom/>
      <diagonal/>
    </border>
    <border>
      <left style="thin">
        <color rgb="FFFFC00B"/>
      </left>
      <right/>
      <top style="thin">
        <color rgb="FFFFC00B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ck">
        <color theme="0" tint="-0.14990691854609822"/>
      </right>
      <top/>
      <bottom style="thick">
        <color theme="0" tint="-0.14990691854609822"/>
      </bottom>
      <diagonal/>
    </border>
    <border>
      <left/>
      <right/>
      <top/>
      <bottom style="thick">
        <color theme="0" tint="-0.14990691854609822"/>
      </bottom>
      <diagonal/>
    </border>
    <border>
      <left style="medium">
        <color rgb="FF1F3864"/>
      </left>
      <right/>
      <top style="thin">
        <color indexed="64"/>
      </top>
      <bottom style="medium">
        <color rgb="FF1F38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rgb="FF1F3864"/>
      </bottom>
      <diagonal/>
    </border>
    <border>
      <left style="medium">
        <color rgb="FF1F3864"/>
      </left>
      <right style="thin">
        <color indexed="64"/>
      </right>
      <top style="thin">
        <color indexed="64"/>
      </top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indexed="64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2E75B6"/>
      </left>
      <right style="thin">
        <color indexed="64"/>
      </right>
      <top style="thin">
        <color rgb="FF2E75B6"/>
      </top>
      <bottom style="thin">
        <color rgb="FF2E75B6"/>
      </bottom>
      <diagonal/>
    </border>
    <border>
      <left style="thin">
        <color indexed="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1F3864"/>
      </left>
      <right style="thin">
        <color indexed="64"/>
      </right>
      <top style="thin">
        <color rgb="FF1F3864"/>
      </top>
      <bottom style="thin">
        <color rgb="FF1F3864"/>
      </bottom>
      <diagonal/>
    </border>
    <border>
      <left style="thin">
        <color indexed="64"/>
      </left>
      <right style="medium">
        <color rgb="FF1F6B75"/>
      </right>
      <top style="medium">
        <color rgb="FF1F6B75"/>
      </top>
      <bottom style="medium">
        <color rgb="FF1F6B75"/>
      </bottom>
      <diagonal/>
    </border>
    <border>
      <left style="thin">
        <color rgb="FF1F6B75"/>
      </left>
      <right style="thin">
        <color indexed="64"/>
      </right>
      <top style="thin">
        <color rgb="FF1F6B75"/>
      </top>
      <bottom style="thin">
        <color rgb="FF1F6B75"/>
      </bottom>
      <diagonal/>
    </border>
    <border>
      <left style="thin">
        <color indexed="64"/>
      </left>
      <right style="medium">
        <color rgb="FFC55A11"/>
      </right>
      <top style="medium">
        <color rgb="FFC55A11"/>
      </top>
      <bottom style="medium">
        <color rgb="FFC55A11"/>
      </bottom>
      <diagonal/>
    </border>
    <border>
      <left style="thin">
        <color rgb="FFC55A11"/>
      </left>
      <right style="thin">
        <color indexed="64"/>
      </right>
      <top style="thin">
        <color rgb="FFC55A11"/>
      </top>
      <bottom style="thin">
        <color rgb="FFC55A11"/>
      </bottom>
      <diagonal/>
    </border>
    <border>
      <left style="thin">
        <color indexed="64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thin">
        <color rgb="FF70AD47"/>
      </left>
      <right style="thin">
        <color indexed="64"/>
      </right>
      <top style="thin">
        <color rgb="FF70AD47"/>
      </top>
      <bottom style="thin">
        <color rgb="FF70AD47"/>
      </bottom>
      <diagonal/>
    </border>
    <border>
      <left style="thin">
        <color indexed="64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7030A0"/>
      </left>
      <right style="thin">
        <color indexed="64"/>
      </right>
      <top style="thin">
        <color rgb="FF7030A0"/>
      </top>
      <bottom style="thin">
        <color rgb="FF7030A0"/>
      </bottom>
      <diagonal/>
    </border>
    <border>
      <left style="thin">
        <color indexed="64"/>
      </left>
      <right style="medium">
        <color rgb="FFFFC00B"/>
      </right>
      <top style="medium">
        <color rgb="FFFFC00B"/>
      </top>
      <bottom/>
      <diagonal/>
    </border>
    <border>
      <left style="thin">
        <color rgb="FFFFC00B"/>
      </left>
      <right style="thin">
        <color indexed="64"/>
      </right>
      <top style="thin">
        <color rgb="FFFFC00B"/>
      </top>
      <bottom/>
      <diagonal/>
    </border>
    <border>
      <left style="thin">
        <color indexed="64"/>
      </left>
      <right/>
      <top style="medium">
        <color rgb="FFFFC000"/>
      </top>
      <bottom style="medium">
        <color rgb="FFFFC000"/>
      </bottom>
      <diagonal/>
    </border>
    <border>
      <left/>
      <right style="thin">
        <color indexed="64"/>
      </right>
      <top style="medium">
        <color rgb="FFFFC000"/>
      </top>
      <bottom style="medium">
        <color rgb="FFFFC000"/>
      </bottom>
      <diagonal/>
    </border>
    <border>
      <left style="medium">
        <color rgb="FF1F3864"/>
      </left>
      <right style="thin">
        <color indexed="64"/>
      </right>
      <top style="medium">
        <color rgb="FF1F3864"/>
      </top>
      <bottom style="medium">
        <color rgb="FF1F3864"/>
      </bottom>
      <diagonal/>
    </border>
    <border>
      <left style="thin">
        <color indexed="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indexed="64"/>
      </left>
      <right/>
      <top style="thin">
        <color rgb="FFC55A11"/>
      </top>
      <bottom style="thin">
        <color rgb="FFC55A1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indexed="64"/>
      </right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rgb="FFC55A11"/>
      </right>
      <top/>
      <bottom style="medium">
        <color rgb="FFC55A11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2E75B6"/>
      </left>
      <right/>
      <top style="thin">
        <color rgb="FF2E75B6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thick">
        <color rgb="FF00FFC6"/>
      </left>
      <right/>
      <top/>
      <bottom/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/>
      <bottom style="thick">
        <color theme="0" tint="-0.14996795556505021"/>
      </bottom>
      <diagonal/>
    </border>
    <border>
      <left/>
      <right/>
      <top style="thick">
        <color theme="0" tint="-0.14996795556505021"/>
      </top>
      <bottom style="thick">
        <color theme="0" tint="-0.1499374370555742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/>
      <top/>
      <bottom style="double">
        <color theme="0" tint="-0.149937437055574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rgb="FF8EA2B3"/>
      </right>
      <top/>
      <bottom/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80" fillId="0" borderId="0" applyFont="0" applyFill="0" applyBorder="0" applyAlignment="0" applyProtection="0"/>
    <xf numFmtId="9" fontId="80" fillId="0" borderId="0" applyFont="0" applyFill="0" applyBorder="0" applyAlignment="0" applyProtection="0"/>
  </cellStyleXfs>
  <cellXfs count="535">
    <xf numFmtId="0" fontId="0" fillId="0" borderId="0" xfId="0"/>
    <xf numFmtId="0" fontId="3" fillId="8" borderId="7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6" fillId="12" borderId="11" xfId="0" applyFont="1" applyFill="1" applyBorder="1" applyAlignment="1">
      <alignment horizontal="center" vertical="center" wrapText="1"/>
    </xf>
    <xf numFmtId="0" fontId="6" fillId="14" borderId="13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16" fillId="17" borderId="21" xfId="0" applyFont="1" applyFill="1" applyBorder="1" applyAlignment="1">
      <alignment horizontal="left" vertical="center" wrapText="1"/>
    </xf>
    <xf numFmtId="0" fontId="19" fillId="7" borderId="21" xfId="0" applyFont="1" applyFill="1" applyBorder="1" applyAlignment="1">
      <alignment horizontal="center" vertical="center"/>
    </xf>
    <xf numFmtId="168" fontId="23" fillId="11" borderId="21" xfId="0" applyNumberFormat="1" applyFont="1" applyFill="1" applyBorder="1" applyAlignment="1">
      <alignment horizontal="right" vertical="center"/>
    </xf>
    <xf numFmtId="169" fontId="8" fillId="2" borderId="5" xfId="0" applyNumberFormat="1" applyFont="1" applyFill="1" applyBorder="1" applyAlignment="1">
      <alignment horizontal="right" vertical="center"/>
    </xf>
    <xf numFmtId="0" fontId="24" fillId="13" borderId="21" xfId="0" applyFont="1" applyFill="1" applyBorder="1" applyAlignment="1">
      <alignment horizontal="center" vertical="center"/>
    </xf>
    <xf numFmtId="0" fontId="16" fillId="19" borderId="21" xfId="0" applyFont="1" applyFill="1" applyBorder="1" applyAlignment="1">
      <alignment horizontal="left" vertical="center" wrapText="1"/>
    </xf>
    <xf numFmtId="0" fontId="25" fillId="11" borderId="21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right" vertical="center"/>
    </xf>
    <xf numFmtId="169" fontId="3" fillId="12" borderId="11" xfId="0" applyNumberFormat="1" applyFont="1" applyFill="1" applyBorder="1" applyAlignment="1">
      <alignment horizontal="right" vertical="center"/>
    </xf>
    <xf numFmtId="170" fontId="6" fillId="12" borderId="21" xfId="0" applyNumberFormat="1" applyFont="1" applyFill="1" applyBorder="1" applyAlignment="1">
      <alignment horizontal="right" vertical="center"/>
    </xf>
    <xf numFmtId="0" fontId="3" fillId="8" borderId="7" xfId="0" applyFont="1" applyFill="1" applyBorder="1" applyAlignment="1">
      <alignment horizontal="right" vertical="center"/>
    </xf>
    <xf numFmtId="169" fontId="3" fillId="8" borderId="7" xfId="0" applyNumberFormat="1" applyFont="1" applyFill="1" applyBorder="1" applyAlignment="1">
      <alignment horizontal="right" vertical="center"/>
    </xf>
    <xf numFmtId="0" fontId="11" fillId="8" borderId="21" xfId="0" applyFont="1" applyFill="1" applyBorder="1" applyAlignment="1">
      <alignment horizontal="center" vertical="center"/>
    </xf>
    <xf numFmtId="169" fontId="0" fillId="0" borderId="0" xfId="0" applyNumberFormat="1"/>
    <xf numFmtId="169" fontId="26" fillId="13" borderId="21" xfId="0" applyNumberFormat="1" applyFont="1" applyFill="1" applyBorder="1" applyAlignment="1">
      <alignment horizontal="right" vertical="center"/>
    </xf>
    <xf numFmtId="169" fontId="27" fillId="9" borderId="21" xfId="0" applyNumberFormat="1" applyFont="1" applyFill="1" applyBorder="1" applyAlignment="1">
      <alignment horizontal="right" vertical="center"/>
    </xf>
    <xf numFmtId="0" fontId="19" fillId="11" borderId="21" xfId="0" applyFont="1" applyFill="1" applyBorder="1" applyAlignment="1">
      <alignment horizontal="center" vertical="center"/>
    </xf>
    <xf numFmtId="0" fontId="38" fillId="2" borderId="5" xfId="0" applyFont="1" applyFill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 wrapText="1"/>
    </xf>
    <xf numFmtId="0" fontId="38" fillId="8" borderId="7" xfId="0" applyFont="1" applyFill="1" applyBorder="1" applyAlignment="1">
      <alignment horizontal="center" vertical="center" wrapText="1"/>
    </xf>
    <xf numFmtId="0" fontId="38" fillId="10" borderId="9" xfId="0" applyFont="1" applyFill="1" applyBorder="1" applyAlignment="1">
      <alignment horizontal="center" vertical="center" wrapText="1"/>
    </xf>
    <xf numFmtId="0" fontId="38" fillId="12" borderId="11" xfId="0" applyFont="1" applyFill="1" applyBorder="1" applyAlignment="1">
      <alignment horizontal="center" vertical="center" wrapText="1"/>
    </xf>
    <xf numFmtId="0" fontId="38" fillId="14" borderId="13" xfId="0" applyFont="1" applyFill="1" applyBorder="1" applyAlignment="1">
      <alignment horizontal="center" vertical="center" wrapText="1"/>
    </xf>
    <xf numFmtId="0" fontId="38" fillId="20" borderId="23" xfId="0" applyFont="1" applyFill="1" applyBorder="1" applyAlignment="1">
      <alignment horizontal="center" vertical="center" wrapText="1"/>
    </xf>
    <xf numFmtId="0" fontId="38" fillId="21" borderId="24" xfId="0" applyFont="1" applyFill="1" applyBorder="1" applyAlignment="1">
      <alignment horizontal="center" vertical="center" wrapText="1"/>
    </xf>
    <xf numFmtId="168" fontId="39" fillId="6" borderId="5" xfId="0" applyNumberFormat="1" applyFont="1" applyFill="1" applyBorder="1" applyAlignment="1">
      <alignment horizontal="center" vertical="center"/>
    </xf>
    <xf numFmtId="169" fontId="40" fillId="7" borderId="3" xfId="0" applyNumberFormat="1" applyFont="1" applyFill="1" applyBorder="1" applyAlignment="1">
      <alignment horizontal="center" vertical="center"/>
    </xf>
    <xf numFmtId="169" fontId="41" fillId="9" borderId="7" xfId="0" applyNumberFormat="1" applyFont="1" applyFill="1" applyBorder="1" applyAlignment="1">
      <alignment horizontal="center" vertical="center"/>
    </xf>
    <xf numFmtId="169" fontId="42" fillId="11" borderId="9" xfId="0" applyNumberFormat="1" applyFont="1" applyFill="1" applyBorder="1" applyAlignment="1">
      <alignment horizontal="center" vertical="center"/>
    </xf>
    <xf numFmtId="168" fontId="43" fillId="13" borderId="11" xfId="0" applyNumberFormat="1" applyFont="1" applyFill="1" applyBorder="1" applyAlignment="1">
      <alignment horizontal="center" vertical="center"/>
    </xf>
    <xf numFmtId="169" fontId="44" fillId="15" borderId="13" xfId="0" applyNumberFormat="1" applyFont="1" applyFill="1" applyBorder="1" applyAlignment="1">
      <alignment horizontal="center" vertical="center"/>
    </xf>
    <xf numFmtId="165" fontId="45" fillId="11" borderId="23" xfId="0" applyNumberFormat="1" applyFont="1" applyFill="1" applyBorder="1" applyAlignment="1">
      <alignment horizontal="center" vertical="center"/>
    </xf>
    <xf numFmtId="169" fontId="46" fillId="22" borderId="24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169" fontId="47" fillId="6" borderId="5" xfId="0" applyNumberFormat="1" applyFont="1" applyFill="1" applyBorder="1" applyAlignment="1">
      <alignment horizontal="center" vertical="center"/>
    </xf>
    <xf numFmtId="164" fontId="48" fillId="9" borderId="5" xfId="0" applyNumberFormat="1" applyFont="1" applyFill="1" applyBorder="1" applyAlignment="1">
      <alignment horizontal="center" vertical="center"/>
    </xf>
    <xf numFmtId="165" fontId="2" fillId="6" borderId="5" xfId="0" applyNumberFormat="1" applyFont="1" applyFill="1" applyBorder="1" applyAlignment="1">
      <alignment horizontal="center" vertical="center"/>
    </xf>
    <xf numFmtId="165" fontId="49" fillId="11" borderId="5" xfId="0" applyNumberFormat="1" applyFont="1" applyFill="1" applyBorder="1" applyAlignment="1">
      <alignment horizontal="center" vertical="center"/>
    </xf>
    <xf numFmtId="169" fontId="50" fillId="13" borderId="5" xfId="0" applyNumberFormat="1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 wrapText="1"/>
    </xf>
    <xf numFmtId="0" fontId="16" fillId="17" borderId="21" xfId="0" applyFont="1" applyFill="1" applyBorder="1" applyAlignment="1">
      <alignment horizontal="left" vertical="center"/>
    </xf>
    <xf numFmtId="169" fontId="16" fillId="17" borderId="21" xfId="0" applyNumberFormat="1" applyFont="1" applyFill="1" applyBorder="1" applyAlignment="1">
      <alignment horizontal="right" vertical="center"/>
    </xf>
    <xf numFmtId="168" fontId="16" fillId="17" borderId="21" xfId="0" applyNumberFormat="1" applyFont="1" applyFill="1" applyBorder="1" applyAlignment="1">
      <alignment horizontal="right" vertical="center"/>
    </xf>
    <xf numFmtId="165" fontId="16" fillId="17" borderId="21" xfId="0" applyNumberFormat="1" applyFont="1" applyFill="1" applyBorder="1" applyAlignment="1">
      <alignment horizontal="center" vertical="center"/>
    </xf>
    <xf numFmtId="0" fontId="16" fillId="19" borderId="21" xfId="0" applyFont="1" applyFill="1" applyBorder="1" applyAlignment="1">
      <alignment horizontal="left" vertical="center"/>
    </xf>
    <xf numFmtId="169" fontId="16" fillId="19" borderId="21" xfId="0" applyNumberFormat="1" applyFont="1" applyFill="1" applyBorder="1" applyAlignment="1">
      <alignment horizontal="right" vertical="center"/>
    </xf>
    <xf numFmtId="168" fontId="16" fillId="19" borderId="21" xfId="0" applyNumberFormat="1" applyFont="1" applyFill="1" applyBorder="1" applyAlignment="1">
      <alignment horizontal="right" vertical="center"/>
    </xf>
    <xf numFmtId="165" fontId="16" fillId="19" borderId="21" xfId="0" applyNumberFormat="1" applyFont="1" applyFill="1" applyBorder="1" applyAlignment="1">
      <alignment horizontal="center" vertical="center"/>
    </xf>
    <xf numFmtId="0" fontId="14" fillId="9" borderId="21" xfId="0" applyFont="1" applyFill="1" applyBorder="1" applyAlignment="1">
      <alignment horizontal="left" vertical="center"/>
    </xf>
    <xf numFmtId="168" fontId="14" fillId="9" borderId="21" xfId="0" applyNumberFormat="1" applyFont="1" applyFill="1" applyBorder="1" applyAlignment="1">
      <alignment horizontal="right" vertical="center"/>
    </xf>
    <xf numFmtId="168" fontId="34" fillId="13" borderId="11" xfId="0" applyNumberFormat="1" applyFont="1" applyFill="1" applyBorder="1"/>
    <xf numFmtId="165" fontId="34" fillId="13" borderId="11" xfId="0" applyNumberFormat="1" applyFont="1" applyFill="1" applyBorder="1"/>
    <xf numFmtId="165" fontId="13" fillId="12" borderId="11" xfId="0" applyNumberFormat="1" applyFont="1" applyFill="1" applyBorder="1" applyAlignment="1">
      <alignment horizontal="center" vertical="center"/>
    </xf>
    <xf numFmtId="169" fontId="31" fillId="6" borderId="5" xfId="0" applyNumberFormat="1" applyFont="1" applyFill="1" applyBorder="1"/>
    <xf numFmtId="168" fontId="31" fillId="6" borderId="5" xfId="0" applyNumberFormat="1" applyFont="1" applyFill="1" applyBorder="1"/>
    <xf numFmtId="168" fontId="50" fillId="13" borderId="11" xfId="0" applyNumberFormat="1" applyFont="1" applyFill="1" applyBorder="1" applyAlignment="1">
      <alignment horizontal="center" vertical="center"/>
    </xf>
    <xf numFmtId="168" fontId="2" fillId="6" borderId="5" xfId="0" applyNumberFormat="1" applyFont="1" applyFill="1" applyBorder="1" applyAlignment="1">
      <alignment horizontal="center" vertical="center"/>
    </xf>
    <xf numFmtId="168" fontId="48" fillId="9" borderId="7" xfId="0" applyNumberFormat="1" applyFont="1" applyFill="1" applyBorder="1" applyAlignment="1">
      <alignment horizontal="center" vertical="center"/>
    </xf>
    <xf numFmtId="165" fontId="49" fillId="11" borderId="9" xfId="0" applyNumberFormat="1" applyFont="1" applyFill="1" applyBorder="1" applyAlignment="1">
      <alignment horizontal="center" vertical="center"/>
    </xf>
    <xf numFmtId="169" fontId="51" fillId="15" borderId="13" xfId="0" applyNumberFormat="1" applyFont="1" applyFill="1" applyBorder="1" applyAlignment="1">
      <alignment horizontal="center" vertical="center"/>
    </xf>
    <xf numFmtId="168" fontId="47" fillId="7" borderId="3" xfId="0" applyNumberFormat="1" applyFont="1" applyFill="1" applyBorder="1" applyAlignment="1">
      <alignment horizontal="center" vertical="center"/>
    </xf>
    <xf numFmtId="3" fontId="52" fillId="22" borderId="24" xfId="0" applyNumberFormat="1" applyFont="1" applyFill="1" applyBorder="1" applyAlignment="1">
      <alignment horizontal="center" vertical="center"/>
    </xf>
    <xf numFmtId="169" fontId="53" fillId="11" borderId="23" xfId="0" applyNumberFormat="1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169" fontId="23" fillId="17" borderId="21" xfId="0" applyNumberFormat="1" applyFont="1" applyFill="1" applyBorder="1" applyAlignment="1">
      <alignment horizontal="right" vertical="center"/>
    </xf>
    <xf numFmtId="0" fontId="6" fillId="10" borderId="21" xfId="0" applyFont="1" applyFill="1" applyBorder="1" applyAlignment="1">
      <alignment horizontal="center" vertical="center"/>
    </xf>
    <xf numFmtId="169" fontId="54" fillId="19" borderId="21" xfId="0" applyNumberFormat="1" applyFont="1" applyFill="1" applyBorder="1" applyAlignment="1">
      <alignment horizontal="right" vertical="center"/>
    </xf>
    <xf numFmtId="0" fontId="6" fillId="12" borderId="21" xfId="0" applyFont="1" applyFill="1" applyBorder="1" applyAlignment="1">
      <alignment horizontal="center" vertical="center"/>
    </xf>
    <xf numFmtId="169" fontId="54" fillId="17" borderId="21" xfId="0" applyNumberFormat="1" applyFont="1" applyFill="1" applyBorder="1" applyAlignment="1">
      <alignment horizontal="right" vertical="center"/>
    </xf>
    <xf numFmtId="168" fontId="3" fillId="8" borderId="7" xfId="0" applyNumberFormat="1" applyFont="1" applyFill="1" applyBorder="1" applyAlignment="1">
      <alignment horizontal="right" vertical="center"/>
    </xf>
    <xf numFmtId="0" fontId="3" fillId="10" borderId="9" xfId="0" applyFont="1" applyFill="1" applyBorder="1" applyAlignment="1">
      <alignment horizontal="right" vertical="center"/>
    </xf>
    <xf numFmtId="168" fontId="0" fillId="0" borderId="0" xfId="0" applyNumberFormat="1"/>
    <xf numFmtId="0" fontId="0" fillId="24" borderId="0" xfId="0" applyFill="1"/>
    <xf numFmtId="0" fontId="0" fillId="29" borderId="0" xfId="0" applyFill="1"/>
    <xf numFmtId="0" fontId="0" fillId="32" borderId="0" xfId="0" applyFill="1"/>
    <xf numFmtId="0" fontId="59" fillId="32" borderId="0" xfId="0" applyFont="1" applyFill="1"/>
    <xf numFmtId="0" fontId="19" fillId="7" borderId="29" xfId="0" applyFont="1" applyFill="1" applyBorder="1" applyAlignment="1">
      <alignment horizontal="center" vertical="center"/>
    </xf>
    <xf numFmtId="168" fontId="22" fillId="6" borderId="29" xfId="0" applyNumberFormat="1" applyFont="1" applyFill="1" applyBorder="1" applyAlignment="1">
      <alignment horizontal="right" vertical="center"/>
    </xf>
    <xf numFmtId="168" fontId="23" fillId="11" borderId="29" xfId="0" applyNumberFormat="1" applyFont="1" applyFill="1" applyBorder="1" applyAlignment="1">
      <alignment horizontal="right" vertical="center"/>
    </xf>
    <xf numFmtId="168" fontId="23" fillId="11" borderId="30" xfId="0" applyNumberFormat="1" applyFont="1" applyFill="1" applyBorder="1" applyAlignment="1">
      <alignment horizontal="right" vertical="center"/>
    </xf>
    <xf numFmtId="0" fontId="61" fillId="33" borderId="0" xfId="0" applyFont="1" applyFill="1" applyAlignment="1">
      <alignment horizontal="center" vertical="center" wrapText="1"/>
    </xf>
    <xf numFmtId="0" fontId="0" fillId="35" borderId="0" xfId="0" applyFill="1"/>
    <xf numFmtId="169" fontId="64" fillId="34" borderId="0" xfId="0" applyNumberFormat="1" applyFont="1" applyFill="1" applyAlignment="1">
      <alignment horizontal="right" vertical="center"/>
    </xf>
    <xf numFmtId="0" fontId="62" fillId="34" borderId="0" xfId="0" applyFont="1" applyFill="1"/>
    <xf numFmtId="0" fontId="6" fillId="2" borderId="43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7" fillId="6" borderId="58" xfId="0" applyFont="1" applyFill="1" applyBorder="1" applyAlignment="1">
      <alignment horizontal="center" vertical="center" wrapText="1"/>
    </xf>
    <xf numFmtId="0" fontId="7" fillId="6" borderId="44" xfId="0" applyFont="1" applyFill="1" applyBorder="1" applyAlignment="1">
      <alignment horizontal="center" vertical="center" wrapText="1"/>
    </xf>
    <xf numFmtId="0" fontId="0" fillId="39" borderId="0" xfId="0" applyFill="1"/>
    <xf numFmtId="0" fontId="70" fillId="39" borderId="0" xfId="0" applyFont="1" applyFill="1"/>
    <xf numFmtId="169" fontId="0" fillId="35" borderId="0" xfId="0" applyNumberFormat="1" applyFill="1"/>
    <xf numFmtId="0" fontId="8" fillId="2" borderId="5" xfId="0" applyFont="1" applyFill="1" applyBorder="1" applyAlignment="1">
      <alignment horizontal="left" vertical="center"/>
    </xf>
    <xf numFmtId="0" fontId="16" fillId="17" borderId="29" xfId="0" applyFont="1" applyFill="1" applyBorder="1" applyAlignment="1">
      <alignment horizontal="left" vertical="center" wrapText="1"/>
    </xf>
    <xf numFmtId="0" fontId="24" fillId="13" borderId="29" xfId="0" applyFont="1" applyFill="1" applyBorder="1" applyAlignment="1">
      <alignment horizontal="center" vertical="center"/>
    </xf>
    <xf numFmtId="0" fontId="63" fillId="34" borderId="0" xfId="0" applyFont="1" applyFill="1" applyAlignment="1">
      <alignment horizontal="center" vertical="center" wrapText="1"/>
    </xf>
    <xf numFmtId="0" fontId="60" fillId="38" borderId="0" xfId="0" applyFont="1" applyFill="1" applyAlignment="1">
      <alignment horizontal="center" vertical="center" wrapText="1"/>
    </xf>
    <xf numFmtId="0" fontId="19" fillId="11" borderId="29" xfId="0" applyFont="1" applyFill="1" applyBorder="1" applyAlignment="1">
      <alignment horizontal="center" vertical="center"/>
    </xf>
    <xf numFmtId="0" fontId="60" fillId="40" borderId="0" xfId="0" applyFont="1" applyFill="1" applyAlignment="1">
      <alignment horizontal="center" vertical="center" wrapText="1"/>
    </xf>
    <xf numFmtId="168" fontId="8" fillId="10" borderId="75" xfId="0" applyNumberFormat="1" applyFont="1" applyFill="1" applyBorder="1" applyAlignment="1">
      <alignment horizontal="right" vertical="center"/>
    </xf>
    <xf numFmtId="0" fontId="14" fillId="17" borderId="20" xfId="0" applyFont="1" applyFill="1" applyBorder="1" applyAlignment="1">
      <alignment horizontal="left" vertical="center" wrapText="1"/>
    </xf>
    <xf numFmtId="0" fontId="14" fillId="19" borderId="20" xfId="0" applyFont="1" applyFill="1" applyBorder="1" applyAlignment="1">
      <alignment horizontal="left" vertical="center" wrapText="1"/>
    </xf>
    <xf numFmtId="0" fontId="18" fillId="17" borderId="76" xfId="0" applyFont="1" applyFill="1" applyBorder="1" applyAlignment="1">
      <alignment horizontal="left" vertical="center" wrapText="1"/>
    </xf>
    <xf numFmtId="0" fontId="18" fillId="19" borderId="76" xfId="0" applyFont="1" applyFill="1" applyBorder="1" applyAlignment="1">
      <alignment horizontal="left" vertical="center" wrapText="1"/>
    </xf>
    <xf numFmtId="169" fontId="34" fillId="13" borderId="74" xfId="0" applyNumberFormat="1" applyFont="1" applyFill="1" applyBorder="1" applyAlignment="1">
      <alignment horizontal="right" vertical="center"/>
    </xf>
    <xf numFmtId="169" fontId="34" fillId="13" borderId="78" xfId="0" applyNumberFormat="1" applyFont="1" applyFill="1" applyBorder="1" applyAlignment="1">
      <alignment horizontal="right" vertical="center"/>
    </xf>
    <xf numFmtId="169" fontId="34" fillId="13" borderId="79" xfId="0" applyNumberFormat="1" applyFont="1" applyFill="1" applyBorder="1" applyAlignment="1">
      <alignment horizontal="right" vertical="center"/>
    </xf>
    <xf numFmtId="0" fontId="35" fillId="12" borderId="80" xfId="0" applyFont="1" applyFill="1" applyBorder="1" applyAlignment="1">
      <alignment horizontal="left" vertical="center"/>
    </xf>
    <xf numFmtId="169" fontId="5" fillId="12" borderId="81" xfId="0" applyNumberFormat="1" applyFont="1" applyFill="1" applyBorder="1" applyAlignment="1">
      <alignment horizontal="right" vertical="center"/>
    </xf>
    <xf numFmtId="0" fontId="74" fillId="34" borderId="0" xfId="0" applyFont="1" applyFill="1" applyAlignment="1">
      <alignment horizontal="left" vertical="center"/>
    </xf>
    <xf numFmtId="168" fontId="68" fillId="34" borderId="0" xfId="0" applyNumberFormat="1" applyFont="1" applyFill="1" applyAlignment="1">
      <alignment horizontal="right" vertical="center"/>
    </xf>
    <xf numFmtId="0" fontId="77" fillId="2" borderId="5" xfId="0" applyFont="1" applyFill="1" applyBorder="1" applyAlignment="1">
      <alignment horizontal="center" vertical="center" wrapText="1"/>
    </xf>
    <xf numFmtId="0" fontId="77" fillId="4" borderId="3" xfId="0" applyFont="1" applyFill="1" applyBorder="1" applyAlignment="1">
      <alignment horizontal="center" vertical="center" wrapText="1"/>
    </xf>
    <xf numFmtId="0" fontId="77" fillId="8" borderId="7" xfId="0" applyFont="1" applyFill="1" applyBorder="1" applyAlignment="1">
      <alignment horizontal="center" vertical="center" wrapText="1"/>
    </xf>
    <xf numFmtId="0" fontId="77" fillId="10" borderId="9" xfId="0" applyFont="1" applyFill="1" applyBorder="1" applyAlignment="1">
      <alignment horizontal="center" vertical="center" wrapText="1"/>
    </xf>
    <xf numFmtId="0" fontId="77" fillId="12" borderId="11" xfId="0" applyFont="1" applyFill="1" applyBorder="1" applyAlignment="1">
      <alignment horizontal="center" vertical="center" wrapText="1"/>
    </xf>
    <xf numFmtId="0" fontId="77" fillId="14" borderId="13" xfId="0" applyFont="1" applyFill="1" applyBorder="1" applyAlignment="1">
      <alignment horizontal="center" vertical="center" wrapText="1"/>
    </xf>
    <xf numFmtId="0" fontId="77" fillId="20" borderId="23" xfId="0" applyFont="1" applyFill="1" applyBorder="1" applyAlignment="1">
      <alignment horizontal="center" vertical="center" wrapText="1"/>
    </xf>
    <xf numFmtId="0" fontId="77" fillId="21" borderId="24" xfId="0" applyFont="1" applyFill="1" applyBorder="1" applyAlignment="1">
      <alignment horizontal="center" vertical="center" wrapText="1"/>
    </xf>
    <xf numFmtId="0" fontId="78" fillId="8" borderId="5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10" borderId="5" xfId="0" applyFont="1" applyFill="1" applyBorder="1" applyAlignment="1">
      <alignment horizontal="center" vertical="center" wrapText="1"/>
    </xf>
    <xf numFmtId="0" fontId="78" fillId="12" borderId="5" xfId="0" applyFont="1" applyFill="1" applyBorder="1" applyAlignment="1">
      <alignment horizontal="center" vertical="center" wrapText="1"/>
    </xf>
    <xf numFmtId="0" fontId="81" fillId="35" borderId="0" xfId="0" applyFont="1" applyFill="1"/>
    <xf numFmtId="0" fontId="82" fillId="41" borderId="0" xfId="0" applyFont="1" applyFill="1" applyAlignment="1">
      <alignment horizontal="left" vertical="center"/>
    </xf>
    <xf numFmtId="0" fontId="82" fillId="42" borderId="0" xfId="0" applyFont="1" applyFill="1" applyAlignment="1">
      <alignment horizontal="left" vertical="center"/>
    </xf>
    <xf numFmtId="0" fontId="81" fillId="32" borderId="0" xfId="0" applyFont="1" applyFill="1"/>
    <xf numFmtId="0" fontId="79" fillId="32" borderId="0" xfId="0" applyFont="1" applyFill="1"/>
    <xf numFmtId="0" fontId="75" fillId="32" borderId="0" xfId="0" applyFont="1" applyFill="1"/>
    <xf numFmtId="0" fontId="0" fillId="43" borderId="0" xfId="0" applyFill="1"/>
    <xf numFmtId="0" fontId="83" fillId="41" borderId="0" xfId="0" applyFont="1" applyFill="1" applyAlignment="1">
      <alignment horizontal="left" vertical="center"/>
    </xf>
    <xf numFmtId="0" fontId="76" fillId="32" borderId="0" xfId="0" applyFont="1" applyFill="1" applyAlignment="1">
      <alignment horizontal="left" vertical="center"/>
    </xf>
    <xf numFmtId="0" fontId="76" fillId="32" borderId="0" xfId="0" applyFont="1" applyFill="1" applyAlignment="1">
      <alignment vertical="center"/>
    </xf>
    <xf numFmtId="0" fontId="84" fillId="35" borderId="0" xfId="0" applyFont="1" applyFill="1"/>
    <xf numFmtId="0" fontId="84" fillId="44" borderId="0" xfId="0" applyFont="1" applyFill="1"/>
    <xf numFmtId="0" fontId="84" fillId="46" borderId="0" xfId="0" applyFont="1" applyFill="1"/>
    <xf numFmtId="0" fontId="84" fillId="47" borderId="0" xfId="0" applyFont="1" applyFill="1"/>
    <xf numFmtId="0" fontId="84" fillId="48" borderId="0" xfId="0" applyFont="1" applyFill="1"/>
    <xf numFmtId="0" fontId="84" fillId="49" borderId="0" xfId="0" applyFont="1" applyFill="1"/>
    <xf numFmtId="0" fontId="84" fillId="50" borderId="0" xfId="0" applyFont="1" applyFill="1"/>
    <xf numFmtId="0" fontId="84" fillId="51" borderId="0" xfId="0" applyFont="1" applyFill="1"/>
    <xf numFmtId="0" fontId="84" fillId="52" borderId="0" xfId="0" applyFont="1" applyFill="1"/>
    <xf numFmtId="0" fontId="84" fillId="53" borderId="0" xfId="0" applyFont="1" applyFill="1"/>
    <xf numFmtId="0" fontId="85" fillId="45" borderId="0" xfId="0" applyFont="1" applyFill="1" applyAlignment="1">
      <alignment horizontal="center" vertical="center"/>
    </xf>
    <xf numFmtId="168" fontId="84" fillId="35" borderId="0" xfId="0" applyNumberFormat="1" applyFont="1" applyFill="1"/>
    <xf numFmtId="0" fontId="89" fillId="60" borderId="0" xfId="0" applyFont="1" applyFill="1" applyAlignment="1">
      <alignment horizontal="left"/>
    </xf>
    <xf numFmtId="0" fontId="90" fillId="60" borderId="0" xfId="0" applyFont="1" applyFill="1" applyAlignment="1">
      <alignment horizontal="left" vertical="center"/>
    </xf>
    <xf numFmtId="0" fontId="89" fillId="61" borderId="0" xfId="0" applyFont="1" applyFill="1" applyAlignment="1">
      <alignment horizontal="left"/>
    </xf>
    <xf numFmtId="0" fontId="89" fillId="45" borderId="0" xfId="0" applyFont="1" applyFill="1" applyAlignment="1">
      <alignment horizontal="left"/>
    </xf>
    <xf numFmtId="0" fontId="92" fillId="63" borderId="0" xfId="0" applyFont="1" applyFill="1" applyAlignment="1">
      <alignment horizontal="center" vertical="center" wrapText="1"/>
    </xf>
    <xf numFmtId="0" fontId="88" fillId="44" borderId="0" xfId="0" applyFont="1" applyFill="1"/>
    <xf numFmtId="0" fontId="88" fillId="35" borderId="0" xfId="0" applyFont="1" applyFill="1"/>
    <xf numFmtId="0" fontId="94" fillId="63" borderId="0" xfId="0" applyFont="1" applyFill="1" applyAlignment="1">
      <alignment horizontal="center" vertical="center" wrapText="1"/>
    </xf>
    <xf numFmtId="3" fontId="95" fillId="54" borderId="84" xfId="0" applyNumberFormat="1" applyFont="1" applyFill="1" applyBorder="1" applyAlignment="1">
      <alignment horizontal="center" vertical="center"/>
    </xf>
    <xf numFmtId="49" fontId="95" fillId="54" borderId="84" xfId="0" applyNumberFormat="1" applyFont="1" applyFill="1" applyBorder="1" applyAlignment="1">
      <alignment horizontal="left" vertical="center"/>
    </xf>
    <xf numFmtId="49" fontId="95" fillId="54" borderId="84" xfId="0" applyNumberFormat="1" applyFont="1" applyFill="1" applyBorder="1" applyAlignment="1">
      <alignment horizontal="center" vertical="center"/>
    </xf>
    <xf numFmtId="3" fontId="96" fillId="54" borderId="84" xfId="0" applyNumberFormat="1" applyFont="1" applyFill="1" applyBorder="1" applyAlignment="1">
      <alignment horizontal="center" vertical="center"/>
    </xf>
    <xf numFmtId="169" fontId="96" fillId="54" borderId="84" xfId="0" applyNumberFormat="1" applyFont="1" applyFill="1" applyBorder="1" applyAlignment="1">
      <alignment horizontal="center" vertical="center"/>
    </xf>
    <xf numFmtId="165" fontId="96" fillId="54" borderId="84" xfId="0" applyNumberFormat="1" applyFont="1" applyFill="1" applyBorder="1" applyAlignment="1">
      <alignment horizontal="center" vertical="center"/>
    </xf>
    <xf numFmtId="168" fontId="96" fillId="54" borderId="84" xfId="0" applyNumberFormat="1" applyFont="1" applyFill="1" applyBorder="1" applyAlignment="1">
      <alignment horizontal="center" vertical="center"/>
    </xf>
    <xf numFmtId="3" fontId="95" fillId="45" borderId="83" xfId="0" applyNumberFormat="1" applyFont="1" applyFill="1" applyBorder="1" applyAlignment="1">
      <alignment horizontal="center" vertical="center"/>
    </xf>
    <xf numFmtId="49" fontId="95" fillId="45" borderId="83" xfId="0" applyNumberFormat="1" applyFont="1" applyFill="1" applyBorder="1" applyAlignment="1">
      <alignment horizontal="left" vertical="center"/>
    </xf>
    <xf numFmtId="49" fontId="95" fillId="45" borderId="83" xfId="0" applyNumberFormat="1" applyFont="1" applyFill="1" applyBorder="1" applyAlignment="1">
      <alignment horizontal="center" vertical="center"/>
    </xf>
    <xf numFmtId="3" fontId="96" fillId="45" borderId="83" xfId="0" applyNumberFormat="1" applyFont="1" applyFill="1" applyBorder="1" applyAlignment="1">
      <alignment horizontal="center" vertical="center"/>
    </xf>
    <xf numFmtId="169" fontId="96" fillId="45" borderId="83" xfId="0" applyNumberFormat="1" applyFont="1" applyFill="1" applyBorder="1" applyAlignment="1">
      <alignment horizontal="center" vertical="center"/>
    </xf>
    <xf numFmtId="165" fontId="96" fillId="45" borderId="83" xfId="0" applyNumberFormat="1" applyFont="1" applyFill="1" applyBorder="1" applyAlignment="1">
      <alignment horizontal="center" vertical="center"/>
    </xf>
    <xf numFmtId="168" fontId="96" fillId="45" borderId="83" xfId="0" applyNumberFormat="1" applyFont="1" applyFill="1" applyBorder="1" applyAlignment="1">
      <alignment horizontal="center" vertical="center"/>
    </xf>
    <xf numFmtId="3" fontId="95" fillId="54" borderId="83" xfId="0" applyNumberFormat="1" applyFont="1" applyFill="1" applyBorder="1" applyAlignment="1">
      <alignment horizontal="center" vertical="center"/>
    </xf>
    <xf numFmtId="49" fontId="95" fillId="54" borderId="83" xfId="0" applyNumberFormat="1" applyFont="1" applyFill="1" applyBorder="1" applyAlignment="1">
      <alignment horizontal="left" vertical="center"/>
    </xf>
    <xf numFmtId="49" fontId="95" fillId="54" borderId="83" xfId="0" applyNumberFormat="1" applyFont="1" applyFill="1" applyBorder="1" applyAlignment="1">
      <alignment horizontal="center" vertical="center"/>
    </xf>
    <xf numFmtId="3" fontId="96" fillId="54" borderId="83" xfId="0" applyNumberFormat="1" applyFont="1" applyFill="1" applyBorder="1" applyAlignment="1">
      <alignment horizontal="center" vertical="center"/>
    </xf>
    <xf numFmtId="169" fontId="96" fillId="54" borderId="83" xfId="0" applyNumberFormat="1" applyFont="1" applyFill="1" applyBorder="1" applyAlignment="1">
      <alignment horizontal="center" vertical="center"/>
    </xf>
    <xf numFmtId="165" fontId="96" fillId="54" borderId="83" xfId="0" applyNumberFormat="1" applyFont="1" applyFill="1" applyBorder="1" applyAlignment="1">
      <alignment horizontal="center" vertical="center"/>
    </xf>
    <xf numFmtId="168" fontId="96" fillId="54" borderId="83" xfId="0" applyNumberFormat="1" applyFont="1" applyFill="1" applyBorder="1" applyAlignment="1">
      <alignment horizontal="center" vertical="center"/>
    </xf>
    <xf numFmtId="0" fontId="97" fillId="45" borderId="0" xfId="0" applyFont="1" applyFill="1" applyAlignment="1">
      <alignment horizontal="center" vertical="center"/>
    </xf>
    <xf numFmtId="3" fontId="96" fillId="45" borderId="85" xfId="0" applyNumberFormat="1" applyFont="1" applyFill="1" applyBorder="1" applyAlignment="1">
      <alignment horizontal="center" vertical="center"/>
    </xf>
    <xf numFmtId="0" fontId="96" fillId="45" borderId="85" xfId="0" applyFont="1" applyFill="1" applyBorder="1" applyAlignment="1">
      <alignment horizontal="center" vertical="center"/>
    </xf>
    <xf numFmtId="169" fontId="96" fillId="45" borderId="85" xfId="0" applyNumberFormat="1" applyFont="1" applyFill="1" applyBorder="1" applyAlignment="1">
      <alignment horizontal="center" vertical="center"/>
    </xf>
    <xf numFmtId="165" fontId="96" fillId="45" borderId="85" xfId="0" applyNumberFormat="1" applyFont="1" applyFill="1" applyBorder="1" applyAlignment="1">
      <alignment horizontal="center" vertical="center"/>
    </xf>
    <xf numFmtId="168" fontId="96" fillId="45" borderId="85" xfId="0" applyNumberFormat="1" applyFont="1" applyFill="1" applyBorder="1" applyAlignment="1">
      <alignment horizontal="center" vertical="center"/>
    </xf>
    <xf numFmtId="0" fontId="100" fillId="45" borderId="0" xfId="0" applyFont="1" applyFill="1"/>
    <xf numFmtId="3" fontId="98" fillId="55" borderId="83" xfId="0" applyNumberFormat="1" applyFont="1" applyFill="1" applyBorder="1" applyAlignment="1">
      <alignment horizontal="center" vertical="center"/>
    </xf>
    <xf numFmtId="49" fontId="98" fillId="55" borderId="83" xfId="0" applyNumberFormat="1" applyFont="1" applyFill="1" applyBorder="1" applyAlignment="1">
      <alignment horizontal="left" vertical="center"/>
    </xf>
    <xf numFmtId="167" fontId="99" fillId="55" borderId="83" xfId="0" applyNumberFormat="1" applyFont="1" applyFill="1" applyBorder="1" applyAlignment="1">
      <alignment horizontal="center" vertical="center"/>
    </xf>
    <xf numFmtId="172" fontId="99" fillId="55" borderId="83" xfId="0" applyNumberFormat="1" applyFont="1" applyFill="1" applyBorder="1" applyAlignment="1">
      <alignment horizontal="center" vertical="center"/>
    </xf>
    <xf numFmtId="173" fontId="98" fillId="55" borderId="83" xfId="0" applyNumberFormat="1" applyFont="1" applyFill="1" applyBorder="1" applyAlignment="1">
      <alignment horizontal="center" vertical="center"/>
    </xf>
    <xf numFmtId="172" fontId="98" fillId="55" borderId="83" xfId="0" applyNumberFormat="1" applyFont="1" applyFill="1" applyBorder="1" applyAlignment="1">
      <alignment horizontal="center" vertical="center"/>
    </xf>
    <xf numFmtId="3" fontId="98" fillId="45" borderId="83" xfId="0" applyNumberFormat="1" applyFont="1" applyFill="1" applyBorder="1" applyAlignment="1">
      <alignment horizontal="center" vertical="center"/>
    </xf>
    <xf numFmtId="49" fontId="98" fillId="45" borderId="83" xfId="0" applyNumberFormat="1" applyFont="1" applyFill="1" applyBorder="1" applyAlignment="1">
      <alignment horizontal="left" vertical="center"/>
    </xf>
    <xf numFmtId="167" fontId="99" fillId="45" borderId="83" xfId="0" applyNumberFormat="1" applyFont="1" applyFill="1" applyBorder="1" applyAlignment="1">
      <alignment horizontal="center" vertical="center"/>
    </xf>
    <xf numFmtId="172" fontId="99" fillId="45" borderId="83" xfId="0" applyNumberFormat="1" applyFont="1" applyFill="1" applyBorder="1" applyAlignment="1">
      <alignment horizontal="center" vertical="center"/>
    </xf>
    <xf numFmtId="173" fontId="98" fillId="45" borderId="83" xfId="0" applyNumberFormat="1" applyFont="1" applyFill="1" applyBorder="1" applyAlignment="1">
      <alignment horizontal="center" vertical="center"/>
    </xf>
    <xf numFmtId="172" fontId="98" fillId="45" borderId="83" xfId="0" applyNumberFormat="1" applyFont="1" applyFill="1" applyBorder="1" applyAlignment="1">
      <alignment horizontal="center" vertical="center"/>
    </xf>
    <xf numFmtId="0" fontId="101" fillId="66" borderId="0" xfId="0" applyFont="1" applyFill="1" applyAlignment="1">
      <alignment horizontal="center" vertical="center" wrapText="1"/>
    </xf>
    <xf numFmtId="165" fontId="96" fillId="45" borderId="0" xfId="0" applyNumberFormat="1" applyFont="1" applyFill="1" applyAlignment="1">
      <alignment horizontal="center" vertical="center"/>
    </xf>
    <xf numFmtId="0" fontId="101" fillId="54" borderId="70" xfId="0" applyFont="1" applyFill="1" applyBorder="1" applyAlignment="1">
      <alignment horizontal="right" vertical="center"/>
    </xf>
    <xf numFmtId="168" fontId="99" fillId="54" borderId="70" xfId="0" applyNumberFormat="1" applyFont="1" applyFill="1" applyBorder="1" applyAlignment="1">
      <alignment horizontal="left" vertical="center"/>
    </xf>
    <xf numFmtId="0" fontId="101" fillId="56" borderId="70" xfId="0" applyFont="1" applyFill="1" applyBorder="1" applyAlignment="1">
      <alignment horizontal="right" vertical="center"/>
    </xf>
    <xf numFmtId="168" fontId="99" fillId="56" borderId="70" xfId="0" applyNumberFormat="1" applyFont="1" applyFill="1" applyBorder="1" applyAlignment="1">
      <alignment horizontal="left" vertical="center"/>
    </xf>
    <xf numFmtId="0" fontId="101" fillId="57" borderId="70" xfId="0" applyFont="1" applyFill="1" applyBorder="1" applyAlignment="1">
      <alignment horizontal="right" vertical="center"/>
    </xf>
    <xf numFmtId="168" fontId="99" fillId="57" borderId="70" xfId="0" applyNumberFormat="1" applyFont="1" applyFill="1" applyBorder="1" applyAlignment="1">
      <alignment horizontal="left" vertical="center"/>
    </xf>
    <xf numFmtId="0" fontId="101" fillId="55" borderId="70" xfId="0" applyFont="1" applyFill="1" applyBorder="1" applyAlignment="1">
      <alignment horizontal="right" vertical="center"/>
    </xf>
    <xf numFmtId="168" fontId="99" fillId="55" borderId="70" xfId="0" applyNumberFormat="1" applyFont="1" applyFill="1" applyBorder="1" applyAlignment="1">
      <alignment horizontal="left" vertical="center"/>
    </xf>
    <xf numFmtId="0" fontId="101" fillId="45" borderId="70" xfId="0" applyFont="1" applyFill="1" applyBorder="1" applyAlignment="1">
      <alignment horizontal="right" vertical="center"/>
    </xf>
    <xf numFmtId="168" fontId="99" fillId="45" borderId="70" xfId="0" applyNumberFormat="1" applyFont="1" applyFill="1" applyBorder="1" applyAlignment="1">
      <alignment horizontal="left" vertical="center"/>
    </xf>
    <xf numFmtId="0" fontId="101" fillId="58" borderId="70" xfId="0" applyFont="1" applyFill="1" applyBorder="1" applyAlignment="1">
      <alignment horizontal="right" vertical="center"/>
    </xf>
    <xf numFmtId="168" fontId="99" fillId="58" borderId="70" xfId="0" applyNumberFormat="1" applyFont="1" applyFill="1" applyBorder="1" applyAlignment="1">
      <alignment horizontal="left" vertical="center"/>
    </xf>
    <xf numFmtId="0" fontId="101" fillId="44" borderId="70" xfId="0" applyFont="1" applyFill="1" applyBorder="1" applyAlignment="1">
      <alignment horizontal="right" vertical="center"/>
    </xf>
    <xf numFmtId="168" fontId="99" fillId="44" borderId="70" xfId="0" applyNumberFormat="1" applyFont="1" applyFill="1" applyBorder="1" applyAlignment="1">
      <alignment horizontal="left" vertical="center"/>
    </xf>
    <xf numFmtId="165" fontId="99" fillId="54" borderId="70" xfId="0" applyNumberFormat="1" applyFont="1" applyFill="1" applyBorder="1" applyAlignment="1">
      <alignment horizontal="left" vertical="center"/>
    </xf>
    <xf numFmtId="165" fontId="99" fillId="56" borderId="70" xfId="0" applyNumberFormat="1" applyFont="1" applyFill="1" applyBorder="1" applyAlignment="1">
      <alignment horizontal="left" vertical="center"/>
    </xf>
    <xf numFmtId="165" fontId="99" fillId="57" borderId="70" xfId="0" applyNumberFormat="1" applyFont="1" applyFill="1" applyBorder="1" applyAlignment="1">
      <alignment horizontal="left" vertical="center"/>
    </xf>
    <xf numFmtId="165" fontId="99" fillId="55" borderId="70" xfId="0" applyNumberFormat="1" applyFont="1" applyFill="1" applyBorder="1" applyAlignment="1">
      <alignment horizontal="left" vertical="center"/>
    </xf>
    <xf numFmtId="165" fontId="99" fillId="45" borderId="70" xfId="0" applyNumberFormat="1" applyFont="1" applyFill="1" applyBorder="1" applyAlignment="1">
      <alignment horizontal="left" vertical="center"/>
    </xf>
    <xf numFmtId="165" fontId="99" fillId="58" borderId="70" xfId="0" applyNumberFormat="1" applyFont="1" applyFill="1" applyBorder="1" applyAlignment="1">
      <alignment horizontal="left" vertical="center"/>
    </xf>
    <xf numFmtId="165" fontId="99" fillId="44" borderId="70" xfId="0" applyNumberFormat="1" applyFont="1" applyFill="1" applyBorder="1" applyAlignment="1">
      <alignment horizontal="left" vertical="center"/>
    </xf>
    <xf numFmtId="0" fontId="84" fillId="46" borderId="70" xfId="0" applyFont="1" applyFill="1" applyBorder="1"/>
    <xf numFmtId="0" fontId="84" fillId="47" borderId="70" xfId="0" applyFont="1" applyFill="1" applyBorder="1"/>
    <xf numFmtId="0" fontId="84" fillId="49" borderId="70" xfId="0" applyFont="1" applyFill="1" applyBorder="1"/>
    <xf numFmtId="0" fontId="84" fillId="51" borderId="70" xfId="0" applyFont="1" applyFill="1" applyBorder="1"/>
    <xf numFmtId="0" fontId="84" fillId="52" borderId="70" xfId="0" applyFont="1" applyFill="1" applyBorder="1"/>
    <xf numFmtId="0" fontId="84" fillId="50" borderId="70" xfId="0" applyFont="1" applyFill="1" applyBorder="1"/>
    <xf numFmtId="0" fontId="84" fillId="53" borderId="70" xfId="0" applyFont="1" applyFill="1" applyBorder="1"/>
    <xf numFmtId="169" fontId="96" fillId="45" borderId="87" xfId="0" applyNumberFormat="1" applyFont="1" applyFill="1" applyBorder="1" applyAlignment="1">
      <alignment horizontal="center" vertical="center"/>
    </xf>
    <xf numFmtId="168" fontId="96" fillId="45" borderId="87" xfId="0" applyNumberFormat="1" applyFont="1" applyFill="1" applyBorder="1" applyAlignment="1">
      <alignment horizontal="center" vertical="center"/>
    </xf>
    <xf numFmtId="165" fontId="96" fillId="45" borderId="87" xfId="0" applyNumberFormat="1" applyFont="1" applyFill="1" applyBorder="1" applyAlignment="1">
      <alignment horizontal="center" vertical="center"/>
    </xf>
    <xf numFmtId="3" fontId="98" fillId="45" borderId="86" xfId="0" applyNumberFormat="1" applyFont="1" applyFill="1" applyBorder="1" applyAlignment="1">
      <alignment horizontal="center" vertical="center"/>
    </xf>
    <xf numFmtId="49" fontId="98" fillId="45" borderId="86" xfId="0" applyNumberFormat="1" applyFont="1" applyFill="1" applyBorder="1" applyAlignment="1">
      <alignment horizontal="left" vertical="center"/>
    </xf>
    <xf numFmtId="172" fontId="98" fillId="45" borderId="86" xfId="0" applyNumberFormat="1" applyFont="1" applyFill="1" applyBorder="1" applyAlignment="1">
      <alignment horizontal="center" vertical="center"/>
    </xf>
    <xf numFmtId="173" fontId="98" fillId="45" borderId="86" xfId="0" applyNumberFormat="1" applyFont="1" applyFill="1" applyBorder="1" applyAlignment="1">
      <alignment horizontal="center" vertical="center"/>
    </xf>
    <xf numFmtId="172" fontId="99" fillId="45" borderId="86" xfId="0" applyNumberFormat="1" applyFont="1" applyFill="1" applyBorder="1" applyAlignment="1">
      <alignment horizontal="center" vertical="center"/>
    </xf>
    <xf numFmtId="173" fontId="99" fillId="45" borderId="86" xfId="0" applyNumberFormat="1" applyFont="1" applyFill="1" applyBorder="1" applyAlignment="1">
      <alignment horizontal="center" vertical="center"/>
    </xf>
    <xf numFmtId="165" fontId="99" fillId="45" borderId="86" xfId="0" applyNumberFormat="1" applyFont="1" applyFill="1" applyBorder="1" applyAlignment="1">
      <alignment horizontal="center" vertical="center"/>
    </xf>
    <xf numFmtId="174" fontId="98" fillId="45" borderId="86" xfId="0" applyNumberFormat="1" applyFont="1" applyFill="1" applyBorder="1" applyAlignment="1">
      <alignment horizontal="center" vertical="center"/>
    </xf>
    <xf numFmtId="168" fontId="99" fillId="45" borderId="86" xfId="0" applyNumberFormat="1" applyFont="1" applyFill="1" applyBorder="1" applyAlignment="1">
      <alignment horizontal="center" vertical="center"/>
    </xf>
    <xf numFmtId="49" fontId="98" fillId="45" borderId="86" xfId="0" applyNumberFormat="1" applyFont="1" applyFill="1" applyBorder="1" applyAlignment="1">
      <alignment horizontal="center" vertical="center"/>
    </xf>
    <xf numFmtId="177" fontId="21" fillId="13" borderId="29" xfId="0" applyNumberFormat="1" applyFont="1" applyFill="1" applyBorder="1" applyAlignment="1">
      <alignment horizontal="right" vertical="center"/>
    </xf>
    <xf numFmtId="177" fontId="21" fillId="13" borderId="21" xfId="0" applyNumberFormat="1" applyFont="1" applyFill="1" applyBorder="1" applyAlignment="1">
      <alignment horizontal="right" vertical="center"/>
    </xf>
    <xf numFmtId="177" fontId="21" fillId="13" borderId="30" xfId="0" applyNumberFormat="1" applyFont="1" applyFill="1" applyBorder="1" applyAlignment="1">
      <alignment horizontal="right" vertical="center"/>
    </xf>
    <xf numFmtId="0" fontId="114" fillId="17" borderId="29" xfId="0" applyFont="1" applyFill="1" applyBorder="1" applyAlignment="1">
      <alignment horizontal="left" vertical="center" wrapText="1"/>
    </xf>
    <xf numFmtId="0" fontId="114" fillId="19" borderId="21" xfId="0" applyFont="1" applyFill="1" applyBorder="1" applyAlignment="1">
      <alignment horizontal="left" vertical="center" wrapText="1"/>
    </xf>
    <xf numFmtId="0" fontId="114" fillId="17" borderId="21" xfId="0" applyFont="1" applyFill="1" applyBorder="1" applyAlignment="1">
      <alignment horizontal="left" vertical="center" wrapText="1"/>
    </xf>
    <xf numFmtId="0" fontId="111" fillId="17" borderId="21" xfId="0" applyFont="1" applyFill="1" applyBorder="1" applyAlignment="1">
      <alignment horizontal="left" vertical="center" wrapText="1"/>
    </xf>
    <xf numFmtId="0" fontId="111" fillId="19" borderId="21" xfId="0" applyFont="1" applyFill="1" applyBorder="1" applyAlignment="1">
      <alignment horizontal="left" vertical="center" wrapText="1"/>
    </xf>
    <xf numFmtId="0" fontId="111" fillId="9" borderId="21" xfId="0" applyFont="1" applyFill="1" applyBorder="1" applyAlignment="1">
      <alignment horizontal="left" vertical="center" wrapText="1"/>
    </xf>
    <xf numFmtId="0" fontId="115" fillId="17" borderId="21" xfId="0" applyFont="1" applyFill="1" applyBorder="1" applyAlignment="1">
      <alignment horizontal="left" vertical="center" wrapText="1"/>
    </xf>
    <xf numFmtId="0" fontId="115" fillId="19" borderId="21" xfId="0" applyFont="1" applyFill="1" applyBorder="1" applyAlignment="1">
      <alignment horizontal="left" vertical="center" wrapText="1"/>
    </xf>
    <xf numFmtId="0" fontId="117" fillId="9" borderId="21" xfId="0" applyFont="1" applyFill="1" applyBorder="1" applyAlignment="1">
      <alignment horizontal="left" vertical="center" wrapText="1"/>
    </xf>
    <xf numFmtId="0" fontId="118" fillId="13" borderId="29" xfId="0" applyFont="1" applyFill="1" applyBorder="1" applyAlignment="1">
      <alignment horizontal="left" vertical="center" wrapText="1"/>
    </xf>
    <xf numFmtId="3" fontId="118" fillId="13" borderId="29" xfId="0" applyNumberFormat="1" applyFont="1" applyFill="1" applyBorder="1" applyAlignment="1">
      <alignment horizontal="right" vertical="center"/>
    </xf>
    <xf numFmtId="166" fontId="118" fillId="13" borderId="29" xfId="0" applyNumberFormat="1" applyFont="1" applyFill="1" applyBorder="1" applyAlignment="1">
      <alignment horizontal="right" vertical="center"/>
    </xf>
    <xf numFmtId="169" fontId="118" fillId="13" borderId="29" xfId="0" applyNumberFormat="1" applyFont="1" applyFill="1" applyBorder="1" applyAlignment="1">
      <alignment horizontal="right" vertical="center"/>
    </xf>
    <xf numFmtId="169" fontId="28" fillId="6" borderId="70" xfId="0" applyNumberFormat="1" applyFont="1" applyFill="1" applyBorder="1" applyAlignment="1">
      <alignment horizontal="right" vertical="center"/>
    </xf>
    <xf numFmtId="168" fontId="29" fillId="7" borderId="70" xfId="0" applyNumberFormat="1" applyFont="1" applyFill="1" applyBorder="1" applyAlignment="1">
      <alignment horizontal="right" vertical="center"/>
    </xf>
    <xf numFmtId="0" fontId="118" fillId="13" borderId="21" xfId="0" applyFont="1" applyFill="1" applyBorder="1" applyAlignment="1">
      <alignment horizontal="left" vertical="center" wrapText="1"/>
    </xf>
    <xf numFmtId="3" fontId="118" fillId="13" borderId="21" xfId="0" applyNumberFormat="1" applyFont="1" applyFill="1" applyBorder="1" applyAlignment="1">
      <alignment horizontal="right" vertical="center"/>
    </xf>
    <xf numFmtId="166" fontId="118" fillId="13" borderId="21" xfId="0" applyNumberFormat="1" applyFont="1" applyFill="1" applyBorder="1" applyAlignment="1">
      <alignment horizontal="right" vertical="center"/>
    </xf>
    <xf numFmtId="169" fontId="118" fillId="13" borderId="21" xfId="0" applyNumberFormat="1" applyFont="1" applyFill="1" applyBorder="1" applyAlignment="1">
      <alignment horizontal="right" vertical="center"/>
    </xf>
    <xf numFmtId="168" fontId="118" fillId="13" borderId="29" xfId="0" applyNumberFormat="1" applyFont="1" applyFill="1" applyBorder="1" applyAlignment="1">
      <alignment horizontal="right" vertical="center"/>
    </xf>
    <xf numFmtId="168" fontId="29" fillId="6" borderId="74" xfId="0" applyNumberFormat="1" applyFont="1" applyFill="1" applyBorder="1" applyAlignment="1">
      <alignment horizontal="right" vertical="center"/>
    </xf>
    <xf numFmtId="168" fontId="34" fillId="13" borderId="29" xfId="0" applyNumberFormat="1" applyFont="1" applyFill="1" applyBorder="1" applyAlignment="1">
      <alignment horizontal="right" vertical="center"/>
    </xf>
    <xf numFmtId="3" fontId="115" fillId="17" borderId="29" xfId="0" applyNumberFormat="1" applyFont="1" applyFill="1" applyBorder="1" applyAlignment="1">
      <alignment horizontal="center" vertical="center"/>
    </xf>
    <xf numFmtId="168" fontId="118" fillId="13" borderId="21" xfId="0" applyNumberFormat="1" applyFont="1" applyFill="1" applyBorder="1" applyAlignment="1">
      <alignment horizontal="right" vertical="center"/>
    </xf>
    <xf numFmtId="0" fontId="120" fillId="63" borderId="0" xfId="0" applyFont="1" applyFill="1" applyAlignment="1">
      <alignment horizontal="center" vertical="center" wrapText="1"/>
    </xf>
    <xf numFmtId="0" fontId="120" fillId="0" borderId="0" xfId="0" applyFont="1"/>
    <xf numFmtId="0" fontId="121" fillId="0" borderId="0" xfId="0" applyFont="1" applyAlignment="1">
      <alignment horizontal="center" vertical="center"/>
    </xf>
    <xf numFmtId="0" fontId="0" fillId="35" borderId="92" xfId="0" applyFill="1" applyBorder="1"/>
    <xf numFmtId="3" fontId="0" fillId="35" borderId="92" xfId="1" applyNumberFormat="1" applyFont="1" applyFill="1" applyBorder="1"/>
    <xf numFmtId="175" fontId="0" fillId="35" borderId="92" xfId="0" applyNumberFormat="1" applyFill="1" applyBorder="1"/>
    <xf numFmtId="165" fontId="0" fillId="35" borderId="92" xfId="2" applyNumberFormat="1" applyFont="1" applyFill="1" applyBorder="1"/>
    <xf numFmtId="176" fontId="0" fillId="35" borderId="92" xfId="0" applyNumberFormat="1" applyFill="1" applyBorder="1"/>
    <xf numFmtId="180" fontId="0" fillId="35" borderId="92" xfId="0" applyNumberFormat="1" applyFill="1" applyBorder="1"/>
    <xf numFmtId="177" fontId="0" fillId="35" borderId="92" xfId="0" applyNumberFormat="1" applyFill="1" applyBorder="1"/>
    <xf numFmtId="179" fontId="0" fillId="35" borderId="92" xfId="0" applyNumberFormat="1" applyFill="1" applyBorder="1"/>
    <xf numFmtId="175" fontId="0" fillId="35" borderId="93" xfId="0" applyNumberFormat="1" applyFill="1" applyBorder="1"/>
    <xf numFmtId="165" fontId="0" fillId="35" borderId="93" xfId="2" applyNumberFormat="1" applyFont="1" applyFill="1" applyBorder="1"/>
    <xf numFmtId="176" fontId="0" fillId="35" borderId="93" xfId="0" applyNumberFormat="1" applyFill="1" applyBorder="1"/>
    <xf numFmtId="180" fontId="0" fillId="35" borderId="93" xfId="0" applyNumberFormat="1" applyFill="1" applyBorder="1"/>
    <xf numFmtId="179" fontId="0" fillId="35" borderId="93" xfId="0" applyNumberFormat="1" applyFill="1" applyBorder="1"/>
    <xf numFmtId="0" fontId="0" fillId="35" borderId="93" xfId="0" applyFill="1" applyBorder="1"/>
    <xf numFmtId="177" fontId="0" fillId="35" borderId="93" xfId="0" applyNumberFormat="1" applyFill="1" applyBorder="1"/>
    <xf numFmtId="49" fontId="106" fillId="0" borderId="0" xfId="0" applyNumberFormat="1" applyFont="1"/>
    <xf numFmtId="3" fontId="106" fillId="0" borderId="0" xfId="0" applyNumberFormat="1" applyFont="1"/>
    <xf numFmtId="177" fontId="106" fillId="0" borderId="0" xfId="0" applyNumberFormat="1" applyFont="1"/>
    <xf numFmtId="176" fontId="106" fillId="0" borderId="0" xfId="0" applyNumberFormat="1" applyFont="1"/>
    <xf numFmtId="0" fontId="106" fillId="0" borderId="0" xfId="0" applyFont="1"/>
    <xf numFmtId="180" fontId="106" fillId="0" borderId="0" xfId="0" applyNumberFormat="1" applyFont="1"/>
    <xf numFmtId="9" fontId="0" fillId="35" borderId="92" xfId="2" applyFont="1" applyFill="1" applyBorder="1"/>
    <xf numFmtId="9" fontId="0" fillId="35" borderId="93" xfId="2" applyFont="1" applyFill="1" applyBorder="1"/>
    <xf numFmtId="3" fontId="0" fillId="35" borderId="92" xfId="0" applyNumberFormat="1" applyFill="1" applyBorder="1" applyAlignment="1">
      <alignment horizontal="right" vertical="center"/>
    </xf>
    <xf numFmtId="0" fontId="124" fillId="32" borderId="0" xfId="0" applyFont="1" applyFill="1"/>
    <xf numFmtId="0" fontId="125" fillId="32" borderId="0" xfId="0" applyFont="1" applyFill="1"/>
    <xf numFmtId="176" fontId="0" fillId="0" borderId="0" xfId="0" applyNumberFormat="1"/>
    <xf numFmtId="182" fontId="0" fillId="0" borderId="0" xfId="0" applyNumberFormat="1"/>
    <xf numFmtId="183" fontId="0" fillId="0" borderId="0" xfId="0" applyNumberFormat="1"/>
    <xf numFmtId="177" fontId="0" fillId="0" borderId="0" xfId="0" applyNumberFormat="1"/>
    <xf numFmtId="181" fontId="0" fillId="0" borderId="0" xfId="0" applyNumberFormat="1"/>
    <xf numFmtId="0" fontId="82" fillId="74" borderId="0" xfId="0" applyFont="1" applyFill="1" applyAlignment="1">
      <alignment horizontal="left" vertical="center"/>
    </xf>
    <xf numFmtId="0" fontId="81" fillId="74" borderId="0" xfId="0" applyFont="1" applyFill="1"/>
    <xf numFmtId="165" fontId="21" fillId="13" borderId="29" xfId="2" applyNumberFormat="1" applyFont="1" applyFill="1" applyBorder="1" applyAlignment="1">
      <alignment horizontal="right" vertical="center"/>
    </xf>
    <xf numFmtId="165" fontId="118" fillId="13" borderId="64" xfId="2" applyNumberFormat="1" applyFont="1" applyFill="1" applyBorder="1" applyAlignment="1">
      <alignment horizontal="right" vertical="center"/>
    </xf>
    <xf numFmtId="177" fontId="106" fillId="75" borderId="0" xfId="0" applyNumberFormat="1" applyFont="1" applyFill="1"/>
    <xf numFmtId="177" fontId="106" fillId="76" borderId="0" xfId="0" applyNumberFormat="1" applyFont="1" applyFill="1"/>
    <xf numFmtId="176" fontId="106" fillId="76" borderId="0" xfId="0" applyNumberFormat="1" applyFont="1" applyFill="1"/>
    <xf numFmtId="176" fontId="106" fillId="75" borderId="0" xfId="0" applyNumberFormat="1" applyFont="1" applyFill="1"/>
    <xf numFmtId="176" fontId="126" fillId="32" borderId="0" xfId="0" applyNumberFormat="1" applyFont="1" applyFill="1"/>
    <xf numFmtId="9" fontId="126" fillId="32" borderId="0" xfId="2" applyFont="1" applyFill="1"/>
    <xf numFmtId="176" fontId="127" fillId="32" borderId="0" xfId="0" applyNumberFormat="1" applyFont="1" applyFill="1"/>
    <xf numFmtId="179" fontId="127" fillId="32" borderId="0" xfId="0" applyNumberFormat="1" applyFont="1" applyFill="1"/>
    <xf numFmtId="178" fontId="128" fillId="42" borderId="0" xfId="1" applyNumberFormat="1" applyFont="1" applyFill="1" applyBorder="1" applyAlignment="1">
      <alignment vertical="center"/>
    </xf>
    <xf numFmtId="43" fontId="128" fillId="42" borderId="0" xfId="1" applyFont="1" applyFill="1" applyBorder="1" applyAlignment="1">
      <alignment vertical="center"/>
    </xf>
    <xf numFmtId="0" fontId="128" fillId="42" borderId="0" xfId="0" applyFont="1" applyFill="1" applyAlignment="1">
      <alignment horizontal="left" vertical="center"/>
    </xf>
    <xf numFmtId="177" fontId="128" fillId="42" borderId="0" xfId="1" applyNumberFormat="1" applyFont="1" applyFill="1" applyBorder="1" applyAlignment="1">
      <alignment vertical="center"/>
    </xf>
    <xf numFmtId="177" fontId="128" fillId="42" borderId="0" xfId="0" applyNumberFormat="1" applyFont="1" applyFill="1" applyAlignment="1">
      <alignment horizontal="left" vertical="center"/>
    </xf>
    <xf numFmtId="165" fontId="128" fillId="42" borderId="0" xfId="2" applyNumberFormat="1" applyFont="1" applyFill="1" applyBorder="1" applyAlignment="1">
      <alignment vertical="center"/>
    </xf>
    <xf numFmtId="176" fontId="128" fillId="42" borderId="0" xfId="1" applyNumberFormat="1" applyFont="1" applyFill="1" applyBorder="1" applyAlignment="1">
      <alignment vertical="center"/>
    </xf>
    <xf numFmtId="176" fontId="128" fillId="42" borderId="0" xfId="0" applyNumberFormat="1" applyFont="1" applyFill="1" applyAlignment="1">
      <alignment horizontal="left" vertical="center"/>
    </xf>
    <xf numFmtId="176" fontId="59" fillId="32" borderId="0" xfId="0" applyNumberFormat="1" applyFont="1" applyFill="1"/>
    <xf numFmtId="0" fontId="70" fillId="32" borderId="0" xfId="0" applyFont="1" applyFill="1"/>
    <xf numFmtId="0" fontId="129" fillId="32" borderId="0" xfId="0" applyFont="1" applyFill="1"/>
    <xf numFmtId="0" fontId="130" fillId="32" borderId="0" xfId="0" applyFont="1" applyFill="1"/>
    <xf numFmtId="180" fontId="130" fillId="32" borderId="0" xfId="0" applyNumberFormat="1" applyFont="1" applyFill="1"/>
    <xf numFmtId="176" fontId="130" fillId="32" borderId="0" xfId="0" applyNumberFormat="1" applyFont="1" applyFill="1"/>
    <xf numFmtId="177" fontId="130" fillId="32" borderId="0" xfId="0" applyNumberFormat="1" applyFont="1" applyFill="1"/>
    <xf numFmtId="179" fontId="130" fillId="32" borderId="0" xfId="0" applyNumberFormat="1" applyFont="1" applyFill="1"/>
    <xf numFmtId="9" fontId="130" fillId="32" borderId="0" xfId="2" applyFont="1" applyFill="1"/>
    <xf numFmtId="10" fontId="130" fillId="32" borderId="0" xfId="2" applyNumberFormat="1" applyFont="1" applyFill="1"/>
    <xf numFmtId="165" fontId="130" fillId="32" borderId="0" xfId="2" applyNumberFormat="1" applyFont="1" applyFill="1"/>
    <xf numFmtId="0" fontId="116" fillId="0" borderId="0" xfId="0" applyFont="1" applyAlignment="1">
      <alignment horizontal="left" vertical="center" wrapText="1"/>
    </xf>
    <xf numFmtId="0" fontId="35" fillId="4" borderId="0" xfId="0" applyFont="1" applyFill="1" applyAlignment="1">
      <alignment horizontal="left" vertical="center"/>
    </xf>
    <xf numFmtId="0" fontId="35" fillId="10" borderId="0" xfId="0" applyFont="1" applyFill="1" applyAlignment="1">
      <alignment horizontal="left" vertical="center"/>
    </xf>
    <xf numFmtId="0" fontId="35" fillId="12" borderId="0" xfId="0" applyFont="1" applyFill="1" applyAlignment="1">
      <alignment horizontal="left" vertical="center"/>
    </xf>
    <xf numFmtId="0" fontId="35" fillId="8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132" fillId="17" borderId="0" xfId="0" applyFont="1" applyFill="1" applyAlignment="1">
      <alignment horizontal="left" vertical="center"/>
    </xf>
    <xf numFmtId="0" fontId="35" fillId="18" borderId="0" xfId="0" applyFont="1" applyFill="1" applyAlignment="1">
      <alignment horizontal="left" vertical="center"/>
    </xf>
    <xf numFmtId="0" fontId="108" fillId="0" borderId="0" xfId="0" applyFont="1"/>
    <xf numFmtId="0" fontId="133" fillId="0" borderId="0" xfId="0" applyFont="1" applyAlignment="1">
      <alignment wrapText="1"/>
    </xf>
    <xf numFmtId="0" fontId="135" fillId="35" borderId="0" xfId="0" applyFont="1" applyFill="1"/>
    <xf numFmtId="0" fontId="106" fillId="35" borderId="0" xfId="0" applyFont="1" applyFill="1"/>
    <xf numFmtId="0" fontId="134" fillId="35" borderId="0" xfId="0" applyFont="1" applyFill="1"/>
    <xf numFmtId="169" fontId="26" fillId="79" borderId="21" xfId="0" applyNumberFormat="1" applyFont="1" applyFill="1" applyBorder="1" applyAlignment="1">
      <alignment horizontal="right" vertical="center"/>
    </xf>
    <xf numFmtId="169" fontId="17" fillId="80" borderId="21" xfId="0" applyNumberFormat="1" applyFont="1" applyFill="1" applyBorder="1" applyAlignment="1">
      <alignment horizontal="right" vertical="center"/>
    </xf>
    <xf numFmtId="165" fontId="17" fillId="81" borderId="21" xfId="0" applyNumberFormat="1" applyFont="1" applyFill="1" applyBorder="1" applyAlignment="1">
      <alignment horizontal="right" vertical="center"/>
    </xf>
    <xf numFmtId="164" fontId="17" fillId="82" borderId="21" xfId="0" applyNumberFormat="1" applyFont="1" applyFill="1" applyBorder="1" applyAlignment="1">
      <alignment horizontal="right" vertical="center"/>
    </xf>
    <xf numFmtId="165" fontId="17" fillId="82" borderId="21" xfId="0" applyNumberFormat="1" applyFont="1" applyFill="1" applyBorder="1" applyAlignment="1">
      <alignment horizontal="right" vertical="center"/>
    </xf>
    <xf numFmtId="0" fontId="20" fillId="82" borderId="29" xfId="0" applyFont="1" applyFill="1" applyBorder="1" applyAlignment="1">
      <alignment horizontal="left" vertical="center" wrapText="1"/>
    </xf>
    <xf numFmtId="0" fontId="20" fillId="82" borderId="29" xfId="0" applyFont="1" applyFill="1" applyBorder="1" applyAlignment="1">
      <alignment horizontal="center" vertical="center"/>
    </xf>
    <xf numFmtId="3" fontId="20" fillId="82" borderId="29" xfId="0" applyNumberFormat="1" applyFont="1" applyFill="1" applyBorder="1" applyAlignment="1">
      <alignment horizontal="right" vertical="center"/>
    </xf>
    <xf numFmtId="177" fontId="20" fillId="82" borderId="29" xfId="0" applyNumberFormat="1" applyFont="1" applyFill="1" applyBorder="1" applyAlignment="1">
      <alignment horizontal="right" vertical="center"/>
    </xf>
    <xf numFmtId="0" fontId="20" fillId="82" borderId="21" xfId="0" applyFont="1" applyFill="1" applyBorder="1" applyAlignment="1">
      <alignment horizontal="left" vertical="center" wrapText="1"/>
    </xf>
    <xf numFmtId="0" fontId="20" fillId="82" borderId="21" xfId="0" applyFont="1" applyFill="1" applyBorder="1" applyAlignment="1">
      <alignment horizontal="center" vertical="center"/>
    </xf>
    <xf numFmtId="3" fontId="20" fillId="82" borderId="21" xfId="0" applyNumberFormat="1" applyFont="1" applyFill="1" applyBorder="1" applyAlignment="1">
      <alignment horizontal="right" vertical="center"/>
    </xf>
    <xf numFmtId="177" fontId="20" fillId="82" borderId="21" xfId="0" applyNumberFormat="1" applyFont="1" applyFill="1" applyBorder="1" applyAlignment="1">
      <alignment horizontal="right" vertical="center"/>
    </xf>
    <xf numFmtId="0" fontId="20" fillId="82" borderId="30" xfId="0" applyFont="1" applyFill="1" applyBorder="1" applyAlignment="1">
      <alignment horizontal="left" vertical="center" wrapText="1"/>
    </xf>
    <xf numFmtId="0" fontId="20" fillId="82" borderId="30" xfId="0" applyFont="1" applyFill="1" applyBorder="1" applyAlignment="1">
      <alignment horizontal="center" vertical="center"/>
    </xf>
    <xf numFmtId="3" fontId="20" fillId="82" borderId="30" xfId="0" applyNumberFormat="1" applyFont="1" applyFill="1" applyBorder="1" applyAlignment="1">
      <alignment horizontal="right" vertical="center"/>
    </xf>
    <xf numFmtId="177" fontId="20" fillId="82" borderId="30" xfId="0" applyNumberFormat="1" applyFont="1" applyFill="1" applyBorder="1" applyAlignment="1">
      <alignment horizontal="right" vertical="center"/>
    </xf>
    <xf numFmtId="165" fontId="119" fillId="82" borderId="64" xfId="0" applyNumberFormat="1" applyFont="1" applyFill="1" applyBorder="1" applyAlignment="1">
      <alignment horizontal="center" vertical="center"/>
    </xf>
    <xf numFmtId="165" fontId="119" fillId="82" borderId="20" xfId="0" applyNumberFormat="1" applyFont="1" applyFill="1" applyBorder="1" applyAlignment="1">
      <alignment horizontal="center" vertical="center"/>
    </xf>
    <xf numFmtId="0" fontId="76" fillId="32" borderId="0" xfId="0" applyFont="1" applyFill="1" applyAlignment="1">
      <alignment horizontal="left" vertical="center"/>
    </xf>
    <xf numFmtId="0" fontId="82" fillId="41" borderId="0" xfId="0" applyFont="1" applyFill="1" applyAlignment="1">
      <alignment horizontal="center" vertical="center"/>
    </xf>
    <xf numFmtId="0" fontId="83" fillId="41" borderId="0" xfId="0" applyFont="1" applyFill="1" applyAlignment="1">
      <alignment horizontal="left" vertical="center"/>
    </xf>
    <xf numFmtId="0" fontId="0" fillId="3" borderId="34" xfId="0" applyFill="1" applyBorder="1"/>
    <xf numFmtId="0" fontId="0" fillId="3" borderId="0" xfId="0" applyFill="1"/>
    <xf numFmtId="0" fontId="0" fillId="3" borderId="38" xfId="0" applyFill="1" applyBorder="1"/>
    <xf numFmtId="0" fontId="10" fillId="11" borderId="59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11" borderId="48" xfId="0" applyFont="1" applyFill="1" applyBorder="1" applyAlignment="1">
      <alignment horizontal="center" vertical="center" wrapText="1"/>
    </xf>
    <xf numFmtId="0" fontId="71" fillId="2" borderId="60" xfId="0" applyFont="1" applyFill="1" applyBorder="1" applyAlignment="1">
      <alignment horizontal="left" vertical="center" wrapText="1"/>
    </xf>
    <xf numFmtId="0" fontId="71" fillId="2" borderId="61" xfId="0" applyFont="1" applyFill="1" applyBorder="1" applyAlignment="1">
      <alignment horizontal="left" vertical="center"/>
    </xf>
    <xf numFmtId="0" fontId="12" fillId="2" borderId="61" xfId="0" applyFont="1" applyFill="1" applyBorder="1" applyAlignment="1">
      <alignment horizontal="right" vertical="center"/>
    </xf>
    <xf numFmtId="0" fontId="12" fillId="2" borderId="62" xfId="0" applyFont="1" applyFill="1" applyBorder="1" applyAlignment="1">
      <alignment horizontal="right" vertical="center"/>
    </xf>
    <xf numFmtId="0" fontId="0" fillId="37" borderId="0" xfId="0" applyFill="1"/>
    <xf numFmtId="0" fontId="64" fillId="34" borderId="66" xfId="0" applyFont="1" applyFill="1" applyBorder="1" applyAlignment="1">
      <alignment horizontal="center" vertical="center"/>
    </xf>
    <xf numFmtId="0" fontId="64" fillId="34" borderId="67" xfId="0" applyFont="1" applyFill="1" applyBorder="1" applyAlignment="1">
      <alignment horizontal="center" vertical="center"/>
    </xf>
    <xf numFmtId="0" fontId="64" fillId="34" borderId="68" xfId="0" applyFont="1" applyFill="1" applyBorder="1" applyAlignment="1">
      <alignment horizontal="center" vertical="center"/>
    </xf>
    <xf numFmtId="0" fontId="9" fillId="27" borderId="63" xfId="0" applyFont="1" applyFill="1" applyBorder="1" applyAlignment="1">
      <alignment horizontal="center" vertical="center" wrapText="1"/>
    </xf>
    <xf numFmtId="0" fontId="9" fillId="27" borderId="64" xfId="0" applyFont="1" applyFill="1" applyBorder="1" applyAlignment="1">
      <alignment horizontal="center" vertical="center" wrapText="1"/>
    </xf>
    <xf numFmtId="0" fontId="9" fillId="25" borderId="64" xfId="0" applyFont="1" applyFill="1" applyBorder="1" applyAlignment="1">
      <alignment horizontal="center" vertical="center" wrapText="1"/>
    </xf>
    <xf numFmtId="0" fontId="9" fillId="26" borderId="64" xfId="0" applyFont="1" applyFill="1" applyBorder="1" applyAlignment="1">
      <alignment horizontal="center" vertical="center" wrapText="1"/>
    </xf>
    <xf numFmtId="0" fontId="9" fillId="28" borderId="64" xfId="0" applyFont="1" applyFill="1" applyBorder="1" applyAlignment="1">
      <alignment horizontal="center" vertical="center" wrapText="1"/>
    </xf>
    <xf numFmtId="0" fontId="9" fillId="28" borderId="65" xfId="0" applyFont="1" applyFill="1" applyBorder="1" applyAlignment="1">
      <alignment horizontal="center" vertical="center" wrapText="1"/>
    </xf>
    <xf numFmtId="0" fontId="56" fillId="16" borderId="53" xfId="0" applyFont="1" applyFill="1" applyBorder="1" applyAlignment="1">
      <alignment horizontal="left" vertical="center"/>
    </xf>
    <xf numFmtId="0" fontId="3" fillId="16" borderId="26" xfId="0" applyFont="1" applyFill="1" applyBorder="1" applyAlignment="1">
      <alignment horizontal="left" vertical="center"/>
    </xf>
    <xf numFmtId="0" fontId="4" fillId="5" borderId="27" xfId="0" applyFont="1" applyFill="1" applyBorder="1" applyAlignment="1">
      <alignment horizontal="left" vertical="center" wrapText="1"/>
    </xf>
    <xf numFmtId="0" fontId="4" fillId="5" borderId="54" xfId="0" applyFont="1" applyFill="1" applyBorder="1" applyAlignment="1">
      <alignment horizontal="left" vertical="center" wrapText="1"/>
    </xf>
    <xf numFmtId="0" fontId="0" fillId="3" borderId="55" xfId="0" applyFill="1" applyBorder="1"/>
    <xf numFmtId="0" fontId="0" fillId="3" borderId="28" xfId="0" applyFill="1" applyBorder="1"/>
    <xf numFmtId="0" fontId="0" fillId="3" borderId="56" xfId="0" applyFill="1" applyBorder="1"/>
    <xf numFmtId="0" fontId="68" fillId="34" borderId="34" xfId="0" applyFont="1" applyFill="1" applyBorder="1" applyAlignment="1">
      <alignment horizontal="center" vertical="center"/>
    </xf>
    <xf numFmtId="0" fontId="68" fillId="34" borderId="0" xfId="0" applyFont="1" applyFill="1" applyAlignment="1">
      <alignment horizontal="center" vertical="center"/>
    </xf>
    <xf numFmtId="0" fontId="68" fillId="34" borderId="38" xfId="0" applyFont="1" applyFill="1" applyBorder="1" applyAlignment="1">
      <alignment horizontal="center" vertical="center"/>
    </xf>
    <xf numFmtId="0" fontId="3" fillId="12" borderId="49" xfId="0" applyFont="1" applyFill="1" applyBorder="1" applyAlignment="1">
      <alignment horizontal="left" vertical="center"/>
    </xf>
    <xf numFmtId="0" fontId="3" fillId="12" borderId="11" xfId="0" applyFont="1" applyFill="1" applyBorder="1" applyAlignment="1">
      <alignment horizontal="left" vertical="center"/>
    </xf>
    <xf numFmtId="0" fontId="4" fillId="13" borderId="12" xfId="0" applyFont="1" applyFill="1" applyBorder="1" applyAlignment="1">
      <alignment horizontal="left" vertical="center" wrapText="1"/>
    </xf>
    <xf numFmtId="0" fontId="4" fillId="13" borderId="50" xfId="0" applyFont="1" applyFill="1" applyBorder="1" applyAlignment="1">
      <alignment horizontal="left" vertical="center" wrapText="1"/>
    </xf>
    <xf numFmtId="0" fontId="3" fillId="14" borderId="51" xfId="0" applyFont="1" applyFill="1" applyBorder="1" applyAlignment="1">
      <alignment horizontal="left" vertical="center"/>
    </xf>
    <xf numFmtId="0" fontId="3" fillId="14" borderId="13" xfId="0" applyFont="1" applyFill="1" applyBorder="1" applyAlignment="1">
      <alignment horizontal="left" vertical="center"/>
    </xf>
    <xf numFmtId="0" fontId="4" fillId="15" borderId="14" xfId="0" applyFont="1" applyFill="1" applyBorder="1" applyAlignment="1">
      <alignment horizontal="left" vertical="center" wrapText="1"/>
    </xf>
    <xf numFmtId="0" fontId="4" fillId="15" borderId="52" xfId="0" applyFont="1" applyFill="1" applyBorder="1" applyAlignment="1">
      <alignment horizontal="left" vertical="center" wrapText="1"/>
    </xf>
    <xf numFmtId="0" fontId="3" fillId="2" borderId="4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4" fillId="6" borderId="6" xfId="0" applyFont="1" applyFill="1" applyBorder="1" applyAlignment="1">
      <alignment horizontal="left" vertical="center" wrapText="1"/>
    </xf>
    <xf numFmtId="0" fontId="4" fillId="6" borderId="44" xfId="0" applyFont="1" applyFill="1" applyBorder="1" applyAlignment="1">
      <alignment horizontal="left" vertical="center" wrapText="1"/>
    </xf>
    <xf numFmtId="0" fontId="4" fillId="7" borderId="6" xfId="0" applyFont="1" applyFill="1" applyBorder="1" applyAlignment="1">
      <alignment horizontal="left" vertical="center" wrapText="1"/>
    </xf>
    <xf numFmtId="0" fontId="4" fillId="7" borderId="44" xfId="0" applyFont="1" applyFill="1" applyBorder="1" applyAlignment="1">
      <alignment horizontal="left" vertical="center" wrapText="1"/>
    </xf>
    <xf numFmtId="0" fontId="3" fillId="8" borderId="45" xfId="0" applyFont="1" applyFill="1" applyBorder="1" applyAlignment="1">
      <alignment horizontal="left" vertical="center"/>
    </xf>
    <xf numFmtId="0" fontId="3" fillId="8" borderId="7" xfId="0" applyFont="1" applyFill="1" applyBorder="1" applyAlignment="1">
      <alignment horizontal="left" vertical="center"/>
    </xf>
    <xf numFmtId="0" fontId="55" fillId="9" borderId="8" xfId="0" applyFont="1" applyFill="1" applyBorder="1" applyAlignment="1">
      <alignment horizontal="left" vertical="center" wrapText="1"/>
    </xf>
    <xf numFmtId="0" fontId="4" fillId="9" borderId="8" xfId="0" applyFont="1" applyFill="1" applyBorder="1" applyAlignment="1">
      <alignment horizontal="left" vertical="center" wrapText="1"/>
    </xf>
    <xf numFmtId="0" fontId="4" fillId="9" borderId="46" xfId="0" applyFont="1" applyFill="1" applyBorder="1" applyAlignment="1">
      <alignment horizontal="left" vertical="center" wrapText="1"/>
    </xf>
    <xf numFmtId="0" fontId="3" fillId="10" borderId="47" xfId="0" applyFont="1" applyFill="1" applyBorder="1" applyAlignment="1">
      <alignment horizontal="left" vertical="center"/>
    </xf>
    <xf numFmtId="0" fontId="3" fillId="10" borderId="9" xfId="0" applyFont="1" applyFill="1" applyBorder="1" applyAlignment="1">
      <alignment horizontal="left" vertical="center"/>
    </xf>
    <xf numFmtId="0" fontId="4" fillId="11" borderId="10" xfId="0" applyFont="1" applyFill="1" applyBorder="1" applyAlignment="1">
      <alignment horizontal="left" vertical="center" wrapText="1"/>
    </xf>
    <xf numFmtId="0" fontId="4" fillId="11" borderId="48" xfId="0" applyFont="1" applyFill="1" applyBorder="1" applyAlignment="1">
      <alignment horizontal="left" vertical="center" wrapText="1"/>
    </xf>
    <xf numFmtId="0" fontId="67" fillId="38" borderId="34" xfId="0" applyFont="1" applyFill="1" applyBorder="1" applyAlignment="1">
      <alignment horizontal="center" vertical="center" wrapText="1"/>
    </xf>
    <xf numFmtId="0" fontId="67" fillId="38" borderId="0" xfId="0" applyFont="1" applyFill="1" applyAlignment="1">
      <alignment horizontal="center" vertical="center" wrapText="1"/>
    </xf>
    <xf numFmtId="0" fontId="67" fillId="38" borderId="38" xfId="0" applyFont="1" applyFill="1" applyBorder="1" applyAlignment="1">
      <alignment horizontal="center" vertical="center" wrapText="1"/>
    </xf>
    <xf numFmtId="0" fontId="0" fillId="2" borderId="34" xfId="0" applyFill="1" applyBorder="1"/>
    <xf numFmtId="0" fontId="0" fillId="2" borderId="0" xfId="0" applyFill="1"/>
    <xf numFmtId="0" fontId="0" fillId="2" borderId="38" xfId="0" applyFill="1" applyBorder="1"/>
    <xf numFmtId="0" fontId="2" fillId="5" borderId="39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0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 wrapText="1"/>
    </xf>
    <xf numFmtId="0" fontId="4" fillId="6" borderId="42" xfId="0" applyFont="1" applyFill="1" applyBorder="1" applyAlignment="1">
      <alignment horizontal="left" vertical="center" wrapText="1"/>
    </xf>
    <xf numFmtId="0" fontId="66" fillId="34" borderId="35" xfId="0" applyFont="1" applyFill="1" applyBorder="1" applyAlignment="1">
      <alignment horizontal="center" vertical="center"/>
    </xf>
    <xf numFmtId="0" fontId="66" fillId="34" borderId="33" xfId="0" applyFont="1" applyFill="1" applyBorder="1" applyAlignment="1">
      <alignment horizontal="center" vertical="center"/>
    </xf>
    <xf numFmtId="0" fontId="66" fillId="34" borderId="36" xfId="0" applyFont="1" applyFill="1" applyBorder="1" applyAlignment="1">
      <alignment horizontal="center" vertical="center"/>
    </xf>
    <xf numFmtId="0" fontId="1" fillId="23" borderId="34" xfId="0" applyFont="1" applyFill="1" applyBorder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1" fillId="23" borderId="38" xfId="0" applyFont="1" applyFill="1" applyBorder="1" applyAlignment="1">
      <alignment horizontal="center" vertical="center"/>
    </xf>
    <xf numFmtId="0" fontId="69" fillId="34" borderId="0" xfId="0" applyFont="1" applyFill="1" applyAlignment="1">
      <alignment horizontal="left" vertical="center"/>
    </xf>
    <xf numFmtId="0" fontId="138" fillId="0" borderId="0" xfId="0" applyFont="1" applyAlignment="1">
      <alignment horizontal="left" vertical="center" wrapText="1"/>
    </xf>
    <xf numFmtId="0" fontId="136" fillId="78" borderId="0" xfId="0" applyFont="1" applyFill="1" applyAlignment="1">
      <alignment horizontal="left" vertical="center" wrapText="1"/>
    </xf>
    <xf numFmtId="0" fontId="111" fillId="17" borderId="20" xfId="0" applyFont="1" applyFill="1" applyBorder="1" applyAlignment="1">
      <alignment horizontal="left" vertical="center" wrapText="1"/>
    </xf>
    <xf numFmtId="0" fontId="58" fillId="31" borderId="0" xfId="0" applyFont="1" applyFill="1" applyAlignment="1">
      <alignment horizontal="center" vertical="center"/>
    </xf>
    <xf numFmtId="0" fontId="3" fillId="30" borderId="4" xfId="0" applyFont="1" applyFill="1" applyBorder="1" applyAlignment="1">
      <alignment horizontal="left" vertical="center"/>
    </xf>
    <xf numFmtId="0" fontId="17" fillId="82" borderId="20" xfId="0" applyFont="1" applyFill="1" applyBorder="1" applyAlignment="1">
      <alignment horizontal="left" vertical="center"/>
    </xf>
    <xf numFmtId="0" fontId="72" fillId="34" borderId="0" xfId="0" applyFont="1" applyFill="1" applyAlignment="1">
      <alignment horizontal="center" vertical="center"/>
    </xf>
    <xf numFmtId="0" fontId="57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63" fillId="34" borderId="0" xfId="0" applyFont="1" applyFill="1" applyAlignment="1">
      <alignment horizontal="right" vertical="center"/>
    </xf>
    <xf numFmtId="0" fontId="112" fillId="36" borderId="0" xfId="0" applyFont="1" applyFill="1" applyAlignment="1">
      <alignment horizontal="center" vertical="center"/>
    </xf>
    <xf numFmtId="0" fontId="65" fillId="34" borderId="32" xfId="0" applyFont="1" applyFill="1" applyBorder="1" applyAlignment="1">
      <alignment horizontal="center" vertical="center"/>
    </xf>
    <xf numFmtId="0" fontId="65" fillId="34" borderId="31" xfId="0" applyFont="1" applyFill="1" applyBorder="1" applyAlignment="1">
      <alignment horizontal="center" vertical="center"/>
    </xf>
    <xf numFmtId="0" fontId="65" fillId="34" borderId="0" xfId="0" applyFont="1" applyFill="1" applyAlignment="1">
      <alignment horizontal="center" vertical="center"/>
    </xf>
    <xf numFmtId="0" fontId="113" fillId="6" borderId="0" xfId="0" applyFont="1" applyFill="1" applyAlignment="1">
      <alignment horizontal="center" vertical="center"/>
    </xf>
    <xf numFmtId="0" fontId="63" fillId="38" borderId="4" xfId="0" applyFont="1" applyFill="1" applyBorder="1" applyAlignment="1">
      <alignment horizontal="left" vertical="center"/>
    </xf>
    <xf numFmtId="0" fontId="19" fillId="17" borderId="37" xfId="0" applyFont="1" applyFill="1" applyBorder="1" applyAlignment="1">
      <alignment horizontal="left" vertical="center"/>
    </xf>
    <xf numFmtId="0" fontId="19" fillId="17" borderId="66" xfId="0" applyFont="1" applyFill="1" applyBorder="1" applyAlignment="1">
      <alignment horizontal="left" vertical="center"/>
    </xf>
    <xf numFmtId="0" fontId="112" fillId="6" borderId="0" xfId="0" applyFont="1" applyFill="1" applyAlignment="1">
      <alignment horizontal="center" vertical="center"/>
    </xf>
    <xf numFmtId="168" fontId="29" fillId="7" borderId="37" xfId="0" applyNumberFormat="1" applyFont="1" applyFill="1" applyBorder="1" applyAlignment="1">
      <alignment horizontal="center" vertical="center"/>
    </xf>
    <xf numFmtId="167" fontId="30" fillId="11" borderId="37" xfId="0" applyNumberFormat="1" applyFont="1" applyFill="1" applyBorder="1" applyAlignment="1">
      <alignment horizontal="center" vertical="center"/>
    </xf>
    <xf numFmtId="0" fontId="19" fillId="17" borderId="37" xfId="0" applyFont="1" applyFill="1" applyBorder="1" applyAlignment="1">
      <alignment horizontal="right" vertical="center"/>
    </xf>
    <xf numFmtId="0" fontId="19" fillId="17" borderId="66" xfId="0" applyFont="1" applyFill="1" applyBorder="1" applyAlignment="1">
      <alignment horizontal="right" vertical="center"/>
    </xf>
    <xf numFmtId="169" fontId="28" fillId="6" borderId="37" xfId="0" applyNumberFormat="1" applyFont="1" applyFill="1" applyBorder="1" applyAlignment="1">
      <alignment horizontal="right" vertical="center"/>
    </xf>
    <xf numFmtId="0" fontId="73" fillId="17" borderId="30" xfId="0" applyFont="1" applyFill="1" applyBorder="1" applyAlignment="1">
      <alignment horizontal="center" vertical="center" wrapText="1"/>
    </xf>
    <xf numFmtId="0" fontId="32" fillId="17" borderId="30" xfId="0" applyFont="1" applyFill="1" applyBorder="1" applyAlignment="1">
      <alignment horizontal="center" vertical="center"/>
    </xf>
    <xf numFmtId="0" fontId="32" fillId="17" borderId="69" xfId="0" applyFont="1" applyFill="1" applyBorder="1" applyAlignment="1">
      <alignment horizontal="center" vertical="center"/>
    </xf>
    <xf numFmtId="165" fontId="33" fillId="82" borderId="71" xfId="0" applyNumberFormat="1" applyFont="1" applyFill="1" applyBorder="1" applyAlignment="1">
      <alignment horizontal="center" vertical="center"/>
    </xf>
    <xf numFmtId="165" fontId="33" fillId="82" borderId="72" xfId="0" applyNumberFormat="1" applyFont="1" applyFill="1" applyBorder="1" applyAlignment="1">
      <alignment horizontal="center" vertical="center"/>
    </xf>
    <xf numFmtId="165" fontId="33" fillId="82" borderId="73" xfId="0" applyNumberFormat="1" applyFont="1" applyFill="1" applyBorder="1" applyAlignment="1">
      <alignment horizontal="center" vertical="center"/>
    </xf>
    <xf numFmtId="167" fontId="30" fillId="11" borderId="66" xfId="1" applyNumberFormat="1" applyFont="1" applyFill="1" applyBorder="1" applyAlignment="1">
      <alignment horizontal="center" vertical="center"/>
    </xf>
    <xf numFmtId="167" fontId="30" fillId="11" borderId="67" xfId="1" applyNumberFormat="1" applyFont="1" applyFill="1" applyBorder="1" applyAlignment="1">
      <alignment horizontal="center" vertical="center"/>
    </xf>
    <xf numFmtId="167" fontId="30" fillId="11" borderId="68" xfId="1" applyNumberFormat="1" applyFont="1" applyFill="1" applyBorder="1" applyAlignment="1">
      <alignment horizontal="center" vertical="center"/>
    </xf>
    <xf numFmtId="0" fontId="19" fillId="17" borderId="66" xfId="0" applyFont="1" applyFill="1" applyBorder="1" applyAlignment="1">
      <alignment horizontal="center" vertical="center"/>
    </xf>
    <xf numFmtId="0" fontId="19" fillId="17" borderId="67" xfId="0" applyFont="1" applyFill="1" applyBorder="1" applyAlignment="1">
      <alignment horizontal="center" vertical="center"/>
    </xf>
    <xf numFmtId="0" fontId="19" fillId="17" borderId="68" xfId="0" applyFont="1" applyFill="1" applyBorder="1" applyAlignment="1">
      <alignment horizontal="center" vertical="center"/>
    </xf>
    <xf numFmtId="0" fontId="32" fillId="17" borderId="30" xfId="0" applyFont="1" applyFill="1" applyBorder="1" applyAlignment="1">
      <alignment horizontal="center" vertical="center" wrapText="1"/>
    </xf>
    <xf numFmtId="177" fontId="33" fillId="5" borderId="71" xfId="0" applyNumberFormat="1" applyFont="1" applyFill="1" applyBorder="1" applyAlignment="1">
      <alignment horizontal="center" vertical="center"/>
    </xf>
    <xf numFmtId="177" fontId="33" fillId="5" borderId="72" xfId="0" applyNumberFormat="1" applyFont="1" applyFill="1" applyBorder="1" applyAlignment="1">
      <alignment horizontal="center" vertical="center"/>
    </xf>
    <xf numFmtId="177" fontId="33" fillId="5" borderId="73" xfId="0" applyNumberFormat="1" applyFont="1" applyFill="1" applyBorder="1" applyAlignment="1">
      <alignment horizontal="center" vertical="center"/>
    </xf>
    <xf numFmtId="0" fontId="63" fillId="38" borderId="77" xfId="0" applyFont="1" applyFill="1" applyBorder="1" applyAlignment="1">
      <alignment horizontal="left" vertical="center"/>
    </xf>
    <xf numFmtId="0" fontId="36" fillId="6" borderId="22" xfId="0" applyFont="1" applyFill="1" applyBorder="1" applyAlignment="1">
      <alignment horizontal="left" vertical="top" wrapText="1"/>
    </xf>
    <xf numFmtId="0" fontId="122" fillId="73" borderId="88" xfId="0" applyFont="1" applyFill="1" applyBorder="1" applyAlignment="1">
      <alignment horizontal="center" vertical="center"/>
    </xf>
    <xf numFmtId="0" fontId="122" fillId="73" borderId="89" xfId="0" applyFont="1" applyFill="1" applyBorder="1" applyAlignment="1">
      <alignment horizontal="center" vertical="center"/>
    </xf>
    <xf numFmtId="0" fontId="122" fillId="73" borderId="90" xfId="0" applyFont="1" applyFill="1" applyBorder="1" applyAlignment="1">
      <alignment horizontal="center" vertical="center"/>
    </xf>
    <xf numFmtId="0" fontId="122" fillId="24" borderId="88" xfId="0" applyFont="1" applyFill="1" applyBorder="1" applyAlignment="1">
      <alignment horizontal="center" vertical="center"/>
    </xf>
    <xf numFmtId="0" fontId="122" fillId="24" borderId="89" xfId="0" applyFont="1" applyFill="1" applyBorder="1" applyAlignment="1">
      <alignment horizontal="center" vertical="center"/>
    </xf>
    <xf numFmtId="0" fontId="122" fillId="24" borderId="90" xfId="0" applyFont="1" applyFill="1" applyBorder="1" applyAlignment="1">
      <alignment horizontal="center" vertical="center"/>
    </xf>
    <xf numFmtId="0" fontId="123" fillId="43" borderId="89" xfId="0" applyFont="1" applyFill="1" applyBorder="1" applyAlignment="1">
      <alignment horizontal="center" vertical="center"/>
    </xf>
    <xf numFmtId="0" fontId="123" fillId="43" borderId="90" xfId="0" applyFont="1" applyFill="1" applyBorder="1" applyAlignment="1">
      <alignment horizontal="center" vertical="center"/>
    </xf>
    <xf numFmtId="0" fontId="35" fillId="8" borderId="25" xfId="0" applyFont="1" applyFill="1" applyBorder="1" applyAlignment="1">
      <alignment horizontal="left" vertical="center"/>
    </xf>
    <xf numFmtId="0" fontId="37" fillId="2" borderId="0" xfId="0" applyFont="1" applyFill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left" vertical="center"/>
    </xf>
    <xf numFmtId="0" fontId="35" fillId="2" borderId="1" xfId="0" applyFont="1" applyFill="1" applyBorder="1" applyAlignment="1">
      <alignment horizontal="left" vertical="center"/>
    </xf>
    <xf numFmtId="0" fontId="96" fillId="45" borderId="0" xfId="0" applyFont="1" applyFill="1" applyAlignment="1">
      <alignment horizontal="left" vertical="center"/>
    </xf>
    <xf numFmtId="0" fontId="87" fillId="59" borderId="0" xfId="0" applyFont="1" applyFill="1" applyAlignment="1">
      <alignment horizontal="left" vertical="center"/>
    </xf>
    <xf numFmtId="169" fontId="91" fillId="60" borderId="0" xfId="0" applyNumberFormat="1" applyFont="1" applyFill="1" applyAlignment="1">
      <alignment horizontal="left" vertical="center"/>
    </xf>
    <xf numFmtId="167" fontId="91" fillId="60" borderId="0" xfId="0" applyNumberFormat="1" applyFont="1" applyFill="1" applyAlignment="1">
      <alignment horizontal="left" vertical="center"/>
    </xf>
    <xf numFmtId="171" fontId="91" fillId="60" borderId="0" xfId="0" applyNumberFormat="1" applyFont="1" applyFill="1" applyAlignment="1">
      <alignment horizontal="left" vertical="center"/>
    </xf>
    <xf numFmtId="0" fontId="93" fillId="62" borderId="0" xfId="0" applyFont="1" applyFill="1" applyAlignment="1">
      <alignment horizontal="left" vertical="center"/>
    </xf>
    <xf numFmtId="0" fontId="93" fillId="60" borderId="0" xfId="0" applyFont="1" applyFill="1" applyAlignment="1">
      <alignment horizontal="left" vertical="center"/>
    </xf>
    <xf numFmtId="0" fontId="93" fillId="64" borderId="0" xfId="0" applyFont="1" applyFill="1" applyAlignment="1">
      <alignment horizontal="left" vertical="center"/>
    </xf>
    <xf numFmtId="0" fontId="102" fillId="65" borderId="82" xfId="0" applyFont="1" applyFill="1" applyBorder="1" applyAlignment="1">
      <alignment horizontal="left" vertical="center"/>
    </xf>
    <xf numFmtId="0" fontId="103" fillId="67" borderId="0" xfId="0" applyFont="1" applyFill="1" applyAlignment="1">
      <alignment horizontal="center" vertical="center"/>
    </xf>
    <xf numFmtId="0" fontId="103" fillId="68" borderId="0" xfId="0" applyFont="1" applyFill="1" applyAlignment="1">
      <alignment horizontal="center" vertical="center"/>
    </xf>
    <xf numFmtId="0" fontId="103" fillId="69" borderId="0" xfId="0" applyFont="1" applyFill="1" applyAlignment="1">
      <alignment horizontal="center" vertical="center"/>
    </xf>
    <xf numFmtId="0" fontId="103" fillId="70" borderId="0" xfId="0" applyFont="1" applyFill="1" applyAlignment="1">
      <alignment horizontal="center" vertical="center"/>
    </xf>
    <xf numFmtId="0" fontId="103" fillId="66" borderId="0" xfId="0" applyFont="1" applyFill="1" applyAlignment="1">
      <alignment horizontal="center" vertical="center"/>
    </xf>
    <xf numFmtId="0" fontId="103" fillId="71" borderId="0" xfId="0" applyFont="1" applyFill="1" applyAlignment="1">
      <alignment horizontal="center" vertical="center"/>
    </xf>
    <xf numFmtId="0" fontId="103" fillId="72" borderId="0" xfId="0" applyFont="1" applyFill="1" applyAlignment="1">
      <alignment horizontal="center" vertical="center"/>
    </xf>
    <xf numFmtId="0" fontId="96" fillId="67" borderId="0" xfId="0" applyFont="1" applyFill="1" applyAlignment="1">
      <alignment horizontal="center" vertical="center"/>
    </xf>
    <xf numFmtId="0" fontId="104" fillId="71" borderId="0" xfId="0" applyFont="1" applyFill="1" applyAlignment="1">
      <alignment horizontal="center" vertical="center" wrapText="1"/>
    </xf>
    <xf numFmtId="0" fontId="104" fillId="72" borderId="0" xfId="0" applyFont="1" applyFill="1" applyAlignment="1">
      <alignment horizontal="center" vertical="center" wrapText="1"/>
    </xf>
    <xf numFmtId="0" fontId="105" fillId="67" borderId="0" xfId="0" applyFont="1" applyFill="1" applyAlignment="1">
      <alignment horizontal="center" vertical="center" wrapText="1"/>
    </xf>
    <xf numFmtId="0" fontId="86" fillId="44" borderId="0" xfId="0" applyFont="1" applyFill="1" applyAlignment="1">
      <alignment horizontal="center" vertical="center"/>
    </xf>
    <xf numFmtId="0" fontId="104" fillId="67" borderId="0" xfId="0" applyFont="1" applyFill="1" applyAlignment="1">
      <alignment horizontal="center" vertical="center" wrapText="1"/>
    </xf>
    <xf numFmtId="0" fontId="104" fillId="68" borderId="0" xfId="0" applyFont="1" applyFill="1" applyAlignment="1">
      <alignment horizontal="center" vertical="center" wrapText="1"/>
    </xf>
    <xf numFmtId="0" fontId="104" fillId="69" borderId="0" xfId="0" applyFont="1" applyFill="1" applyAlignment="1">
      <alignment horizontal="center" vertical="center" wrapText="1"/>
    </xf>
    <xf numFmtId="0" fontId="104" fillId="70" borderId="0" xfId="0" applyFont="1" applyFill="1" applyAlignment="1">
      <alignment horizontal="center" vertical="center" wrapText="1"/>
    </xf>
    <xf numFmtId="0" fontId="104" fillId="66" borderId="0" xfId="0" applyFont="1" applyFill="1" applyAlignment="1">
      <alignment horizontal="center" vertical="center" wrapText="1"/>
    </xf>
    <xf numFmtId="0" fontId="131" fillId="41" borderId="0" xfId="0" applyFont="1" applyFill="1" applyAlignment="1">
      <alignment horizontal="left" vertical="center"/>
    </xf>
    <xf numFmtId="0" fontId="110" fillId="0" borderId="0" xfId="0" applyFont="1" applyAlignment="1">
      <alignment horizontal="center" vertical="center"/>
    </xf>
    <xf numFmtId="0" fontId="110" fillId="0" borderId="91" xfId="0" applyFont="1" applyBorder="1" applyAlignment="1">
      <alignment horizontal="center" vertical="center"/>
    </xf>
    <xf numFmtId="0" fontId="109" fillId="77" borderId="94" xfId="0" applyFont="1" applyFill="1" applyBorder="1" applyAlignment="1">
      <alignment horizontal="center" vertical="center"/>
    </xf>
    <xf numFmtId="0" fontId="109" fillId="77" borderId="95" xfId="0" applyFont="1" applyFill="1" applyBorder="1" applyAlignment="1">
      <alignment horizontal="center" vertical="center"/>
    </xf>
    <xf numFmtId="0" fontId="109" fillId="77" borderId="9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9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0" formatCode="[$$-540A]#,##0.000"/>
    </dxf>
    <dxf>
      <numFmt numFmtId="0" formatCode="General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0" formatCode="[$$-540A]#,##0.000"/>
    </dxf>
    <dxf>
      <numFmt numFmtId="165" formatCode="0.0%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65" formatCode="0.0%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  <fill>
        <patternFill patternType="solid">
          <fgColor indexed="64"/>
          <bgColor rgb="FFFFFF85"/>
        </patternFill>
      </fill>
    </dxf>
    <dxf>
      <numFmt numFmtId="176" formatCode="&quot;S/&quot;\ 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76" formatCode="&quot;S/&quot;\ 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0" formatCode="[$$-540A]#,##0.000"/>
    </dxf>
    <dxf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  <fill>
        <patternFill patternType="solid">
          <fgColor indexed="64"/>
          <bgColor rgb="FFFFFF85"/>
        </patternFill>
      </fill>
    </dxf>
    <dxf>
      <numFmt numFmtId="176" formatCode="&quot;S/&quot;\ 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0" formatCode="[$$-540A]#,##0.000"/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0" formatCode="[$$-540A]#,##0.000"/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0" formatCode="[$$-540A]#,##0.000"/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  <fill>
        <patternFill patternType="solid">
          <fgColor indexed="64"/>
          <bgColor rgb="FFFFFF85"/>
        </patternFill>
      </fill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  <fill>
        <patternFill patternType="solid">
          <fgColor indexed="64"/>
          <bgColor rgb="FFFFFF85"/>
        </patternFill>
      </fill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0" formatCode="[$$-540A]#,##0.000"/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  <fill>
        <patternFill patternType="solid">
          <fgColor indexed="64"/>
          <bgColor theme="9" tint="0.59999389629810485"/>
        </patternFill>
      </fill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  <fill>
        <patternFill patternType="solid">
          <fgColor indexed="64"/>
          <bgColor theme="9" tint="0.59999389629810485"/>
        </patternFill>
      </fill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  <fill>
        <patternFill patternType="solid">
          <fgColor indexed="64"/>
          <bgColor rgb="FFFFFF85"/>
        </patternFill>
      </fill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  <fill>
        <patternFill patternType="solid">
          <fgColor indexed="64"/>
          <bgColor rgb="FFFFFF85"/>
        </patternFill>
      </fill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  <fill>
        <patternFill patternType="solid">
          <fgColor indexed="64"/>
          <bgColor rgb="FFFFFF85"/>
        </patternFill>
      </fill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  <fill>
        <patternFill patternType="solid">
          <fgColor indexed="64"/>
          <bgColor rgb="FFFFFF85"/>
        </patternFill>
      </fill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  <fill>
        <patternFill patternType="solid">
          <fgColor indexed="64"/>
          <bgColor theme="9" tint="0.59999389629810485"/>
        </patternFill>
      </fill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0" formatCode="[$$-540A]#,##0.000"/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  <fill>
        <patternFill patternType="solid">
          <fgColor indexed="64"/>
          <bgColor rgb="FFFFFF85"/>
        </patternFill>
      </fill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  <fill>
        <patternFill patternType="solid">
          <fgColor indexed="64"/>
          <bgColor rgb="FFFFFF85"/>
        </patternFill>
      </fill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0" formatCode="[$$-540A]#,##0.000"/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  <fill>
        <patternFill patternType="solid">
          <fgColor indexed="64"/>
          <bgColor rgb="FFFFFF85"/>
        </patternFill>
      </fill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0" formatCode="[$$-540A]#,##0.000"/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  <fill>
        <patternFill patternType="solid">
          <fgColor indexed="64"/>
          <bgColor rgb="FFFFFF85"/>
        </patternFill>
      </fill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</dxf>
    <dxf>
      <numFmt numFmtId="176" formatCode="&quot;S/&quot;\ 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&quot;S/&quot;\ #,##0.00"/>
    </dxf>
    <dxf>
      <numFmt numFmtId="176" formatCode="&quot;S/&quot;\ #,##0.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65" formatCode="0.0%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</dxf>
    <dxf>
      <numFmt numFmtId="175" formatCode="[$$-409]#,##0.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7" formatCode="[$$-540A]#,##0.00"/>
    </dxf>
    <dxf>
      <numFmt numFmtId="175" formatCode="[$$-409]#,##0.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font>
        <b/>
      </font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none"/>
      </font>
      <fill>
        <patternFill patternType="solid">
          <fgColor rgb="FF1A1A2B"/>
          <bgColor rgb="FFACBBC8"/>
        </patternFill>
      </fill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Estilo de segmentación de datos 1" pivot="0" table="0" count="0" xr9:uid="{3495D453-FF24-4960-8A71-8EDB4D1EEC7B}"/>
    <tableStyle name="Estilo de segmentación de datos 2" pivot="0" table="0" count="1" xr9:uid="{8E17CFDE-75AA-4E64-85B2-E0E43F2C1EC8}"/>
  </tableStyles>
  <colors>
    <indexedColors>
      <rgbColor rgb="FF000000"/>
      <rgbColor rgb="FFFFFFFF"/>
      <rgbColor rgb="FFC00000"/>
      <rgbColor rgb="FF70AD47"/>
      <rgbColor rgb="FF0000FF"/>
      <rgbColor rgb="FFFFC00B"/>
      <rgbColor rgb="FFB3B3B3"/>
      <rgbColor rgb="FF4F81BD"/>
      <rgbColor rgb="FFC55A11"/>
      <rgbColor rgb="FF008000"/>
      <rgbColor rgb="FF8AA64F"/>
      <rgbColor rgb="FFB8860B"/>
      <rgbColor rgb="FF7030A0"/>
      <rgbColor rgb="FF1F6B75"/>
      <rgbColor rgb="FFBFBFBF"/>
      <rgbColor rgb="FF738B42"/>
      <rgbColor rgb="FF93A9CE"/>
      <rgbColor rgb="FF8F3B39"/>
      <rgbColor rgb="FFFFF2CC"/>
      <rgbColor rgb="FFDEEAF1"/>
      <rgbColor rgb="FF7C619D"/>
      <rgbColor rgb="FFDC853E"/>
      <rgbColor rgb="FF3A608D"/>
      <rgbColor rgb="FFBDD7EE"/>
      <rgbColor rgb="FFF2F2F2"/>
      <rgbColor rgb="FFE8DAEF"/>
      <rgbColor rgb="FFB8CD97"/>
      <rgbColor rgb="FF96B656"/>
      <rgbColor rgb="FFC0504D"/>
      <rgbColor rgb="FF8064A2"/>
      <rgbColor rgb="FF4672A8"/>
      <rgbColor rgb="FFD9D9D9"/>
      <rgbColor rgb="FF47A2BD"/>
      <rgbColor rgb="FFD6E8EA"/>
      <rgbColor rgb="FFE2EFDA"/>
      <rgbColor rgb="FFFDF2DA"/>
      <rgbColor rgb="FF99CCFF"/>
      <rgbColor rgb="FFD09493"/>
      <rgbColor rgb="FFB9AFC9"/>
      <rgbColor rgb="FFFCE4D6"/>
      <rgbColor rgb="FF2E75B6"/>
      <rgbColor rgb="FF4BACC6"/>
      <rgbColor rgb="FF9BBB59"/>
      <rgbColor rgb="FFFFC000"/>
      <rgbColor rgb="FFF79646"/>
      <rgbColor rgb="FFE74C3C"/>
      <rgbColor rgb="FF725990"/>
      <rgbColor rgb="FFA99BBD"/>
      <rgbColor rgb="FF1F3864"/>
      <rgbColor rgb="FF378093"/>
      <rgbColor rgb="FF4C7DB7"/>
      <rgbColor rgb="FF6A5286"/>
      <rgbColor rgb="FFBA4D4A"/>
      <rgbColor rgb="FFAB4744"/>
      <rgbColor rgb="FF5F4A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B3"/>
      <color rgb="FFFFFF85"/>
      <color rgb="FF0A4174"/>
      <color rgb="FF0099CC"/>
      <color rgb="FF00D661"/>
      <color rgb="FF6EA2B3"/>
      <color rgb="FFC55E5B"/>
      <color rgb="FFEE0000"/>
      <color rgb="FFA9C9D3"/>
      <color rgb="FF8EA2B3"/>
    </mruColors>
  </colors>
  <extLst>
    <ext xmlns:x14="http://schemas.microsoft.com/office/spreadsheetml/2009/9/main" uri="{46F421CA-312F-682f-3DD2-61675219B42D}">
      <x14:dxfs count="1">
        <dxf>
          <font>
            <color theme="5" tint="-0.24994659260841701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/>
        <x14:slicerStyle name="Estilo de segmentación de datos 2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Distribución FOB por Producto (US$)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'🧾 Factura Comercial'!$I$4</c:f>
              <c:strCache>
                <c:ptCount val="1"/>
                <c:pt idx="0">
                  <c:v>FOB TOTAL
(USD)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'🧾 Factura Comercial'!$E$5:$E$14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'🧾 Factura Comercial'!$I$5:$I$14</c:f>
              <c:numCache>
                <c:formatCode>[$$-540A]#,##0.00</c:formatCode>
                <c:ptCount val="10"/>
                <c:pt idx="0">
                  <c:v>580.79999999999995</c:v>
                </c:pt>
                <c:pt idx="1">
                  <c:v>1958.4</c:v>
                </c:pt>
                <c:pt idx="2">
                  <c:v>1152</c:v>
                </c:pt>
                <c:pt idx="3">
                  <c:v>3476.1600000000003</c:v>
                </c:pt>
                <c:pt idx="4">
                  <c:v>2246.4</c:v>
                </c:pt>
                <c:pt idx="5">
                  <c:v>626.4</c:v>
                </c:pt>
                <c:pt idx="6">
                  <c:v>1370.4</c:v>
                </c:pt>
                <c:pt idx="7">
                  <c:v>1459.2</c:v>
                </c:pt>
                <c:pt idx="8">
                  <c:v>1344.0000000000002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4-4DCD-BFC9-735308D076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0933"/>
        <c:axId val="80987749"/>
      </c:barChart>
      <c:catAx>
        <c:axId val="11040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0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PE"/>
          </a:p>
        </c:txPr>
        <c:crossAx val="80987749"/>
        <c:crosses val="autoZero"/>
        <c:auto val="1"/>
        <c:lblAlgn val="ctr"/>
        <c:lblOffset val="100"/>
        <c:noMultiLvlLbl val="0"/>
      </c:catAx>
      <c:valAx>
        <c:axId val="80987749"/>
        <c:scaling>
          <c:orientation val="minMax"/>
        </c:scaling>
        <c:delete val="1"/>
        <c:axPos val="b"/>
        <c:numFmt formatCode="#,##0.00" sourceLinked="0"/>
        <c:majorTickMark val="none"/>
        <c:minorTickMark val="none"/>
        <c:tickLblPos val="nextTo"/>
        <c:crossAx val="11040933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noFill/>
    <a:ln w="9360" cap="flat" cmpd="sng" algn="ctr">
      <a:noFill/>
      <a:prstDash val="solid"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% FOB por Producto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'🧾 Factura Comercial'!$I$4</c:f>
              <c:strCache>
                <c:ptCount val="1"/>
                <c:pt idx="0">
                  <c:v>FOB TOTAL
(USD)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chemeClr val="tx1">
                  <a:lumMod val="50000"/>
                  <a:lumOff val="50000"/>
                </a:schemeClr>
              </a:solidFill>
            </a:ln>
            <a:scene3d>
              <a:camera prst="orthographicFront"/>
              <a:lightRig rig="threePt" dir="t"/>
            </a:scene3d>
            <a:sp3d prstMaterial="matte">
              <a:bevelT w="0" h="25400"/>
              <a:bevelB/>
            </a:sp3d>
          </c:spPr>
          <c:dPt>
            <c:idx val="0"/>
            <c:bubble3D val="0"/>
            <c:spPr>
              <a:solidFill>
                <a:srgbClr val="4672A8"/>
              </a:solidFill>
              <a:ln w="0">
                <a:solidFill>
                  <a:schemeClr val="tx1">
                    <a:lumMod val="50000"/>
                    <a:lumOff val="50000"/>
                  </a:schemeClr>
                </a:solidFill>
              </a:ln>
              <a:scene3d>
                <a:camera prst="orthographicFront"/>
                <a:lightRig rig="threePt" dir="t"/>
              </a:scene3d>
              <a:sp3d prstMaterial="matte">
                <a:bevelT w="0" h="254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1-0860-46B9-93BB-DF29BCFD117C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0">
                <a:solidFill>
                  <a:schemeClr val="tx1">
                    <a:lumMod val="50000"/>
                    <a:lumOff val="50000"/>
                  </a:schemeClr>
                </a:solidFill>
              </a:ln>
              <a:scene3d>
                <a:camera prst="orthographicFront"/>
                <a:lightRig rig="threePt" dir="t"/>
              </a:scene3d>
              <a:sp3d prstMaterial="matte">
                <a:bevelT w="0" h="254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3-0860-46B9-93BB-DF29BCFD117C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solidFill>
                  <a:schemeClr val="tx1">
                    <a:lumMod val="50000"/>
                    <a:lumOff val="50000"/>
                  </a:schemeClr>
                </a:solidFill>
              </a:ln>
              <a:scene3d>
                <a:camera prst="orthographicFront"/>
                <a:lightRig rig="threePt" dir="t"/>
              </a:scene3d>
              <a:sp3d prstMaterial="matte">
                <a:bevelT w="0" h="254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5-0860-46B9-93BB-DF29BCFD117C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solidFill>
                  <a:schemeClr val="tx1">
                    <a:lumMod val="50000"/>
                    <a:lumOff val="50000"/>
                  </a:schemeClr>
                </a:solidFill>
              </a:ln>
              <a:scene3d>
                <a:camera prst="orthographicFront"/>
                <a:lightRig rig="threePt" dir="t"/>
              </a:scene3d>
              <a:sp3d prstMaterial="matte">
                <a:bevelT w="0" h="254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7-0860-46B9-93BB-DF29BCFD117C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solidFill>
                  <a:schemeClr val="tx1">
                    <a:lumMod val="50000"/>
                    <a:lumOff val="50000"/>
                  </a:schemeClr>
                </a:solidFill>
              </a:ln>
              <a:scene3d>
                <a:camera prst="orthographicFront"/>
                <a:lightRig rig="threePt" dir="t"/>
              </a:scene3d>
              <a:sp3d prstMaterial="matte">
                <a:bevelT w="0" h="254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9-0860-46B9-93BB-DF29BCFD117C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solidFill>
                  <a:schemeClr val="tx1">
                    <a:lumMod val="50000"/>
                    <a:lumOff val="50000"/>
                  </a:schemeClr>
                </a:solidFill>
              </a:ln>
              <a:scene3d>
                <a:camera prst="orthographicFront"/>
                <a:lightRig rig="threePt" dir="t"/>
              </a:scene3d>
              <a:sp3d prstMaterial="matte">
                <a:bevelT w="0" h="254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B-0860-46B9-93BB-DF29BCFD117C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solidFill>
                  <a:schemeClr val="tx1">
                    <a:lumMod val="50000"/>
                    <a:lumOff val="50000"/>
                  </a:schemeClr>
                </a:solidFill>
              </a:ln>
              <a:scene3d>
                <a:camera prst="orthographicFront"/>
                <a:lightRig rig="threePt" dir="t"/>
              </a:scene3d>
              <a:sp3d prstMaterial="matte">
                <a:bevelT w="0" h="254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D-0860-46B9-93BB-DF29BCFD117C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solidFill>
                  <a:schemeClr val="tx1">
                    <a:lumMod val="50000"/>
                    <a:lumOff val="50000"/>
                  </a:schemeClr>
                </a:solidFill>
              </a:ln>
              <a:scene3d>
                <a:camera prst="orthographicFront"/>
                <a:lightRig rig="threePt" dir="t"/>
              </a:scene3d>
              <a:sp3d prstMaterial="matte">
                <a:bevelT w="0" h="254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F-0860-46B9-93BB-DF29BCFD117C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solidFill>
                  <a:schemeClr val="tx1">
                    <a:lumMod val="50000"/>
                    <a:lumOff val="50000"/>
                  </a:schemeClr>
                </a:solidFill>
              </a:ln>
              <a:scene3d>
                <a:camera prst="orthographicFront"/>
                <a:lightRig rig="threePt" dir="t"/>
              </a:scene3d>
              <a:sp3d prstMaterial="matte">
                <a:bevelT w="0" h="25400"/>
                <a:bevelB/>
              </a:sp3d>
            </c:spPr>
            <c:extLst>
              <c:ext xmlns:c16="http://schemas.microsoft.com/office/drawing/2014/chart" uri="{C3380CC4-5D6E-409C-BE32-E72D297353CC}">
                <c16:uniqueId val="{00000011-0860-46B9-93BB-DF29BCFD117C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0">
                <a:solidFill>
                  <a:schemeClr val="tx1">
                    <a:lumMod val="50000"/>
                    <a:lumOff val="50000"/>
                  </a:schemeClr>
                </a:solidFill>
              </a:ln>
              <a:scene3d>
                <a:camera prst="orthographicFront"/>
                <a:lightRig rig="threePt" dir="t"/>
              </a:scene3d>
              <a:sp3d prstMaterial="matte">
                <a:bevelT w="0" h="25400"/>
                <a:bevelB/>
              </a:sp3d>
            </c:spPr>
            <c:extLst>
              <c:ext xmlns:c16="http://schemas.microsoft.com/office/drawing/2014/chart" uri="{C3380CC4-5D6E-409C-BE32-E72D297353CC}">
                <c16:uniqueId val="{00000013-0860-46B9-93BB-DF29BCFD11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'🧾 Factura Comercial'!$E$5:$E$14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'🧾 Factura Comercial'!$I$5:$I$14</c:f>
              <c:numCache>
                <c:formatCode>[$$-540A]#,##0.00</c:formatCode>
                <c:ptCount val="10"/>
                <c:pt idx="0">
                  <c:v>580.79999999999995</c:v>
                </c:pt>
                <c:pt idx="1">
                  <c:v>1958.4</c:v>
                </c:pt>
                <c:pt idx="2">
                  <c:v>1152</c:v>
                </c:pt>
                <c:pt idx="3">
                  <c:v>3476.1600000000003</c:v>
                </c:pt>
                <c:pt idx="4">
                  <c:v>2246.4</c:v>
                </c:pt>
                <c:pt idx="5">
                  <c:v>626.4</c:v>
                </c:pt>
                <c:pt idx="6">
                  <c:v>1370.4</c:v>
                </c:pt>
                <c:pt idx="7">
                  <c:v>1459.2</c:v>
                </c:pt>
                <c:pt idx="8">
                  <c:v>1344.0000000000002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860-46B9-93BB-DF29BCFD1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Afectos vs No Afectos a IGV</a:t>
            </a:r>
          </a:p>
        </c:rich>
      </c:tx>
      <c:layout>
        <c:manualLayout>
          <c:xMode val="edge"/>
          <c:yMode val="edge"/>
          <c:x val="0.17428183546022263"/>
          <c:y val="1.4109347442680775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45657223881498"/>
          <c:y val="0.46913580246913578"/>
          <c:w val="0.5549464506591848"/>
          <c:h val="0.39294532627865963"/>
        </c:manualLayout>
      </c:layout>
      <c:ofPieChart>
        <c:ofPieType val="pie"/>
        <c:varyColors val="1"/>
        <c:ser>
          <c:idx val="0"/>
          <c:order val="0"/>
          <c:tx>
            <c:strRef>
              <c:f>'📦 Gastos Importación'!$I$30</c:f>
              <c:strCache>
                <c:ptCount val="1"/>
                <c:pt idx="0">
                  <c:v>US$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934-4A73-93B5-E9C38D5D40D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8F3B39"/>
                  </a:gs>
                  <a:gs pos="80000">
                    <a:srgbClr val="BA4D4A"/>
                  </a:gs>
                  <a:gs pos="100000">
                    <a:srgbClr val="BA4D4A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934-4A73-93B5-E9C38D5D40D8}"/>
              </c:ext>
            </c:extLst>
          </c:dPt>
          <c:dLbls>
            <c:dLbl>
              <c:idx val="0"/>
              <c:layout>
                <c:manualLayout>
                  <c:x val="0.11221256825655412"/>
                  <c:y val="-0.2355905511811023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323739704950673"/>
                      <c:h val="0.1933686067019400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934-4A73-93B5-E9C38D5D40D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34-4A73-93B5-E9C38D5D40D8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'📦 Gastos Importación'!$H$31:$H$32</c:f>
              <c:strCache>
                <c:ptCount val="2"/>
                <c:pt idx="0">
                  <c:v>Afectos IGV</c:v>
                </c:pt>
                <c:pt idx="1">
                  <c:v>No Afectos</c:v>
                </c:pt>
              </c:strCache>
            </c:strRef>
          </c:cat>
          <c:val>
            <c:numRef>
              <c:f>'📦 Gastos Importación'!$I$31:$I$32</c:f>
              <c:numCache>
                <c:formatCode>"US$"#,##0.00</c:formatCode>
                <c:ptCount val="2"/>
                <c:pt idx="0">
                  <c:v>997.2399999999999</c:v>
                </c:pt>
                <c:pt idx="1">
                  <c:v>167.5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34-4A73-93B5-E9C38D5D40D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/>
      </c:ofPieChart>
      <c:spPr>
        <a:noFill/>
        <a:ln w="0">
          <a:noFill/>
        </a:ln>
      </c:spPr>
    </c:plotArea>
    <c:legend>
      <c:legendPos val="r"/>
      <c:overlay val="0"/>
    </c:legend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Gastos de Importación por Concepto (US$)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'📦 Gastos Importación'!$E$4</c:f>
              <c:strCache>
                <c:ptCount val="1"/>
                <c:pt idx="0">
                  <c:v>MONTO (USD)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'📦 Gastos Importación'!$D$6:$D$20</c:f>
              <c:strCache>
                <c:ptCount val="15"/>
                <c:pt idx="0">
                  <c:v>⭐ Handling</c:v>
                </c:pt>
                <c:pt idx="1">
                  <c:v>⭐ Servicio de Descarga</c:v>
                </c:pt>
                <c:pt idx="2">
                  <c:v>⭐ Movilización de Carga</c:v>
                </c:pt>
                <c:pt idx="3">
                  <c:v>⭐ Tracción</c:v>
                </c:pt>
                <c:pt idx="4">
                  <c:v>⭐ Servicio al Cliente (V°B°)</c:v>
                </c:pt>
                <c:pt idx="5">
                  <c:v>⭐ Gastos Operativos Agente</c:v>
                </c:pt>
                <c:pt idx="6">
                  <c:v>⭐ Almacenaje</c:v>
                </c:pt>
                <c:pt idx="7">
                  <c:v>⭐ Cargadores / Cuadrilla</c:v>
                </c:pt>
                <c:pt idx="8">
                  <c:v>⭐ Serv. Administrativos</c:v>
                </c:pt>
                <c:pt idx="9">
                  <c:v>⭐ Seguro de Contenedor</c:v>
                </c:pt>
                <c:pt idx="10">
                  <c:v>⭐ Posicionamiento de Carga</c:v>
                </c:pt>
                <c:pt idx="11">
                  <c:v>⭐ Transporte Interno / Última Milla</c:v>
                </c:pt>
                <c:pt idx="12">
                  <c:v>⭐ Precinto</c:v>
                </c:pt>
                <c:pt idx="13">
                  <c:v>⭐ Otros Gastos</c:v>
                </c:pt>
                <c:pt idx="14">
                  <c:v>⭐ Comisión del Agente de Aduanas</c:v>
                </c:pt>
              </c:strCache>
            </c:strRef>
          </c:cat>
          <c:val>
            <c:numRef>
              <c:f>'📦 Gastos Importación'!$E$6:$E$20</c:f>
              <c:numCache>
                <c:formatCode>[$$-540A]#,##0.00</c:formatCode>
                <c:ptCount val="15"/>
                <c:pt idx="0">
                  <c:v>34.03</c:v>
                </c:pt>
                <c:pt idx="1">
                  <c:v>100.69</c:v>
                </c:pt>
                <c:pt idx="2">
                  <c:v>36.46</c:v>
                </c:pt>
                <c:pt idx="3">
                  <c:v>48.61</c:v>
                </c:pt>
                <c:pt idx="4">
                  <c:v>12.15</c:v>
                </c:pt>
                <c:pt idx="5">
                  <c:v>70</c:v>
                </c:pt>
                <c:pt idx="6">
                  <c:v>121.53</c:v>
                </c:pt>
                <c:pt idx="7">
                  <c:v>62.5</c:v>
                </c:pt>
                <c:pt idx="8">
                  <c:v>13.89</c:v>
                </c:pt>
                <c:pt idx="9">
                  <c:v>41.67</c:v>
                </c:pt>
                <c:pt idx="10">
                  <c:v>62.5</c:v>
                </c:pt>
                <c:pt idx="11">
                  <c:v>104.17</c:v>
                </c:pt>
                <c:pt idx="12">
                  <c:v>3.13</c:v>
                </c:pt>
                <c:pt idx="13">
                  <c:v>121.53</c:v>
                </c:pt>
                <c:pt idx="14">
                  <c:v>164.38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1-434E-ADFB-ED334DC47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636541"/>
        <c:axId val="26015117"/>
      </c:barChart>
      <c:catAx>
        <c:axId val="9863654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26015117"/>
        <c:crosses val="autoZero"/>
        <c:auto val="1"/>
        <c:lblAlgn val="ctr"/>
        <c:lblOffset val="100"/>
        <c:noMultiLvlLbl val="0"/>
      </c:catAx>
      <c:valAx>
        <c:axId val="26015117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9863654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1" i="0" u="none" strike="noStrike" kern="1200" spc="-1" baseline="0">
                <a:solidFill>
                  <a:srgbClr val="000000"/>
                </a:solidFill>
                <a:latin typeface="Calibri"/>
              </a:rPr>
              <a:t>Composición Deuda Aduanera + Percepción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'🧾 Tributos Aduana'!$G$35</c:f>
              <c:strCache>
                <c:ptCount val="1"/>
                <c:pt idx="0">
                  <c:v>Monto US$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7D-4566-B31D-D1AEB87BCE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7D-4566-B31D-D1AEB87BCE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7D-4566-B31D-D1AEB87BCE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67D-4566-B31D-D1AEB87BCE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'🧾 Tributos Aduana'!$F$36:$F$39</c:f>
              <c:strCache>
                <c:ptCount val="4"/>
                <c:pt idx="0">
                  <c:v>Ad Valorem</c:v>
                </c:pt>
                <c:pt idx="1">
                  <c:v>IPM</c:v>
                </c:pt>
                <c:pt idx="2">
                  <c:v>IGV Aduanas</c:v>
                </c:pt>
                <c:pt idx="3">
                  <c:v>Percepción</c:v>
                </c:pt>
              </c:strCache>
            </c:strRef>
          </c:cat>
          <c:val>
            <c:numRef>
              <c:f>'🧾 Tributos Aduana'!$G$36:$G$39</c:f>
              <c:numCache>
                <c:formatCode>"US$"#,##0.00</c:formatCode>
                <c:ptCount val="4"/>
                <c:pt idx="0">
                  <c:v>986</c:v>
                </c:pt>
                <c:pt idx="1">
                  <c:v>348</c:v>
                </c:pt>
                <c:pt idx="2">
                  <c:v>2788</c:v>
                </c:pt>
                <c:pt idx="3">
                  <c:v>719.6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2-493B-AC12-1755F54912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s-PE" sz="1400" b="1" i="0" u="none" strike="noStrike" kern="1200" spc="-1" baseline="0">
                <a:solidFill>
                  <a:srgbClr val="000000"/>
                </a:solidFill>
                <a:latin typeface="Calibri"/>
              </a:rPr>
              <a:t>Composición del Valor CIF (US$)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r>
              <a:rPr lang="en-US" b="1"/>
              <a:t> US$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'🧾 Tributos Aduana'!$G$42</c:f>
              <c:strCache>
                <c:ptCount val="1"/>
                <c:pt idx="0">
                  <c:v>Monto US$</c:v>
                </c:pt>
              </c:strCache>
            </c:strRef>
          </c:tx>
          <c:spPr>
            <a:solidFill>
              <a:srgbClr val="ACBBC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'🧾 Tributos Aduana'!$F$43:$F$45</c:f>
              <c:strCache>
                <c:ptCount val="3"/>
                <c:pt idx="0">
                  <c:v>FOB</c:v>
                </c:pt>
                <c:pt idx="1">
                  <c:v>Flete</c:v>
                </c:pt>
                <c:pt idx="2">
                  <c:v>Seguro</c:v>
                </c:pt>
              </c:strCache>
            </c:strRef>
          </c:cat>
          <c:val>
            <c:numRef>
              <c:f>'🧾 Tributos Aduana'!$G$43:$G$45</c:f>
              <c:numCache>
                <c:formatCode>"US$"#,##0.00</c:formatCode>
                <c:ptCount val="3"/>
                <c:pt idx="0">
                  <c:v>14213.76</c:v>
                </c:pt>
                <c:pt idx="1">
                  <c:v>2090</c:v>
                </c:pt>
                <c:pt idx="2">
                  <c:v>134.27000000000001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8-43A8-AA63-483BECF31C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92426736"/>
        <c:axId val="2092424816"/>
      </c:barChart>
      <c:catAx>
        <c:axId val="209242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2424816"/>
        <c:crosses val="autoZero"/>
        <c:auto val="1"/>
        <c:lblAlgn val="ctr"/>
        <c:lblOffset val="100"/>
        <c:noMultiLvlLbl val="0"/>
      </c:catAx>
      <c:valAx>
        <c:axId val="2092424816"/>
        <c:scaling>
          <c:orientation val="minMax"/>
        </c:scaling>
        <c:delete val="0"/>
        <c:axPos val="l"/>
        <c:numFmt formatCode="&quot;US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242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Costo de Importación Unitario por Producto (S/.)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'🧮 Costos x Producto'!$K$6</c:f>
              <c:strCache>
                <c:ptCount val="1"/>
                <c:pt idx="0">
                  <c:v>C/M UNIT.
(PEN)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'🧮 Costos x Producto'!$E$7:$E$15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'🧮 Costos x Producto'!$K$7:$K$15</c:f>
              <c:numCache>
                <c:formatCode>"S/."#,##0.00</c:formatCode>
                <c:ptCount val="9"/>
                <c:pt idx="0">
                  <c:v>5.8866740063150083</c:v>
                </c:pt>
                <c:pt idx="1">
                  <c:v>3.3082134911522361</c:v>
                </c:pt>
                <c:pt idx="2">
                  <c:v>1.9460079359719038</c:v>
                </c:pt>
                <c:pt idx="3">
                  <c:v>1.654106745576118</c:v>
                </c:pt>
                <c:pt idx="4">
                  <c:v>1.2649051583817372</c:v>
                </c:pt>
                <c:pt idx="5">
                  <c:v>1.41085575357963</c:v>
                </c:pt>
                <c:pt idx="6">
                  <c:v>27.779263285998923</c:v>
                </c:pt>
                <c:pt idx="7">
                  <c:v>3.6974150783466171</c:v>
                </c:pt>
                <c:pt idx="8">
                  <c:v>1.3622055551803325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C-47C1-A161-EA430510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48022"/>
        <c:axId val="65538629"/>
      </c:barChart>
      <c:catAx>
        <c:axId val="424480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5538629"/>
        <c:crosses val="autoZero"/>
        <c:auto val="1"/>
        <c:lblAlgn val="ctr"/>
        <c:lblOffset val="100"/>
        <c:noMultiLvlLbl val="0"/>
      </c:catAx>
      <c:valAx>
        <c:axId val="65538629"/>
        <c:scaling>
          <c:orientation val="minMax"/>
        </c:scaling>
        <c:delete val="0"/>
        <c:axPos val="l"/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244802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C/M Unitario USD vs PEN (primeros 9 productos)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'🧮 Costos x Producto'!$J$6</c:f>
              <c:strCache>
                <c:ptCount val="1"/>
                <c:pt idx="0">
                  <c:v>C/M UNIT.
(USD)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'🧮 Costos x Producto'!$E$7:$E$15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'🧮 Costos x Producto'!$J$7:$J$15</c:f>
              <c:numCache>
                <c:formatCode>"US$"#,##0.00</c:formatCode>
                <c:ptCount val="9"/>
                <c:pt idx="0">
                  <c:v>1.5824392490094108</c:v>
                </c:pt>
                <c:pt idx="1">
                  <c:v>0.8893047019226441</c:v>
                </c:pt>
                <c:pt idx="2">
                  <c:v>0.52312041289567301</c:v>
                </c:pt>
                <c:pt idx="3">
                  <c:v>0.44465235096132205</c:v>
                </c:pt>
                <c:pt idx="4">
                  <c:v>0.34002826838218742</c:v>
                </c:pt>
                <c:pt idx="5">
                  <c:v>0.3792622993493629</c:v>
                </c:pt>
                <c:pt idx="6">
                  <c:v>7.4675438940857317</c:v>
                </c:pt>
                <c:pt idx="7">
                  <c:v>0.99392878450177868</c:v>
                </c:pt>
                <c:pt idx="8">
                  <c:v>0.36618428902697109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A-4631-8645-AA606C95634A}"/>
            </c:ext>
          </c:extLst>
        </c:ser>
        <c:ser>
          <c:idx val="1"/>
          <c:order val="1"/>
          <c:tx>
            <c:strRef>
              <c:f>'🧮 Costos x Producto'!$K$6</c:f>
              <c:strCache>
                <c:ptCount val="1"/>
                <c:pt idx="0">
                  <c:v>C/M UNIT.
(PEN)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'🧮 Costos x Producto'!$E$7:$E$15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'🧮 Costos x Producto'!$K$7:$K$15</c:f>
              <c:numCache>
                <c:formatCode>"S/."#,##0.00</c:formatCode>
                <c:ptCount val="9"/>
                <c:pt idx="0">
                  <c:v>5.8866740063150083</c:v>
                </c:pt>
                <c:pt idx="1">
                  <c:v>3.3082134911522361</c:v>
                </c:pt>
                <c:pt idx="2">
                  <c:v>1.9460079359719038</c:v>
                </c:pt>
                <c:pt idx="3">
                  <c:v>1.654106745576118</c:v>
                </c:pt>
                <c:pt idx="4">
                  <c:v>1.2649051583817372</c:v>
                </c:pt>
                <c:pt idx="5">
                  <c:v>1.41085575357963</c:v>
                </c:pt>
                <c:pt idx="6">
                  <c:v>27.779263285998923</c:v>
                </c:pt>
                <c:pt idx="7">
                  <c:v>3.6974150783466171</c:v>
                </c:pt>
                <c:pt idx="8">
                  <c:v>1.3622055551803325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3A-4631-8645-AA606C956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27666"/>
        <c:axId val="37445021"/>
      </c:barChart>
      <c:catAx>
        <c:axId val="400276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37445021"/>
        <c:crosses val="autoZero"/>
        <c:auto val="1"/>
        <c:lblAlgn val="ctr"/>
        <c:lblOffset val="100"/>
        <c:noMultiLvlLbl val="0"/>
      </c:catAx>
      <c:valAx>
        <c:axId val="37445021"/>
        <c:scaling>
          <c:orientation val="minMax"/>
        </c:scaling>
        <c:delete val="0"/>
        <c:axPos val="l"/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00276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Costo / Valor Venta / Precio Final (S/.) — Top 9 Productos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'💰 Precio de Venta'!$F$7</c:f>
              <c:strCache>
                <c:ptCount val="1"/>
                <c:pt idx="0">
                  <c:v>C/M UNIT.
(PEN)</c:v>
                </c:pt>
              </c:strCache>
            </c:strRef>
          </c:tx>
          <c:spPr>
            <a:solidFill>
              <a:srgbClr val="6A528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Precio de Venta'!$E$8:$E$16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'💰 Precio de Venta'!$F$8:$F$16</c:f>
              <c:numCache>
                <c:formatCode>"S/."#,##0.00</c:formatCode>
                <c:ptCount val="9"/>
                <c:pt idx="0">
                  <c:v>5.8866740063150083</c:v>
                </c:pt>
                <c:pt idx="1">
                  <c:v>3.3082134911522361</c:v>
                </c:pt>
                <c:pt idx="2">
                  <c:v>1.9460079359719038</c:v>
                </c:pt>
                <c:pt idx="3">
                  <c:v>1.654106745576118</c:v>
                </c:pt>
                <c:pt idx="4">
                  <c:v>1.2649051583817372</c:v>
                </c:pt>
                <c:pt idx="5">
                  <c:v>1.41085575357963</c:v>
                </c:pt>
                <c:pt idx="6">
                  <c:v>27.779263285998923</c:v>
                </c:pt>
                <c:pt idx="7">
                  <c:v>3.6974150783466171</c:v>
                </c:pt>
                <c:pt idx="8">
                  <c:v>1.3622055551803325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8-4DE4-82C0-60F5E1627168}"/>
            </c:ext>
          </c:extLst>
        </c:ser>
        <c:ser>
          <c:idx val="1"/>
          <c:order val="1"/>
          <c:tx>
            <c:strRef>
              <c:f>'💰 Precio de Venta'!$H$7</c:f>
              <c:strCache>
                <c:ptCount val="1"/>
                <c:pt idx="0">
                  <c:v>VALOR VENTA
UNIT. (S/.)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Precio de Venta'!$E$8:$E$16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'💰 Precio de Venta'!$H$8:$H$16</c:f>
              <c:numCache>
                <c:formatCode>"S/."#,##0.00</c:formatCode>
                <c:ptCount val="9"/>
                <c:pt idx="0">
                  <c:v>9.8111233438583483</c:v>
                </c:pt>
                <c:pt idx="1">
                  <c:v>5.5136891519203939</c:v>
                </c:pt>
                <c:pt idx="2">
                  <c:v>3.243346559953173</c:v>
                </c:pt>
                <c:pt idx="3">
                  <c:v>2.7568445759601969</c:v>
                </c:pt>
                <c:pt idx="4">
                  <c:v>2.1081752639695623</c:v>
                </c:pt>
                <c:pt idx="5">
                  <c:v>2.3514262559660501</c:v>
                </c:pt>
                <c:pt idx="6">
                  <c:v>46.29877214333154</c:v>
                </c:pt>
                <c:pt idx="7">
                  <c:v>6.1623584639110289</c:v>
                </c:pt>
                <c:pt idx="8">
                  <c:v>2.2703425919672209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88-4DE4-82C0-60F5E1627168}"/>
            </c:ext>
          </c:extLst>
        </c:ser>
        <c:ser>
          <c:idx val="2"/>
          <c:order val="2"/>
          <c:tx>
            <c:strRef>
              <c:f>'💰 Precio de Venta'!$I$7</c:f>
              <c:strCache>
                <c:ptCount val="1"/>
                <c:pt idx="0">
                  <c:v>PRECIO VENTA
UNIT. c/IGV (S/.)</c:v>
                </c:pt>
              </c:strCache>
            </c:strRef>
          </c:tx>
          <c:spPr>
            <a:solidFill>
              <a:srgbClr val="B9AFC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Precio de Venta'!$E$8:$E$16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'💰 Precio de Venta'!$I$8:$I$16</c:f>
              <c:numCache>
                <c:formatCode>"S/."#,##0.00</c:formatCode>
                <c:ptCount val="9"/>
                <c:pt idx="0">
                  <c:v>11.57712554575285</c:v>
                </c:pt>
                <c:pt idx="1">
                  <c:v>6.5061531992660644</c:v>
                </c:pt>
                <c:pt idx="2">
                  <c:v>3.8271489407447441</c:v>
                </c:pt>
                <c:pt idx="3">
                  <c:v>3.2530765996330322</c:v>
                </c:pt>
                <c:pt idx="4">
                  <c:v>2.4876468114840833</c:v>
                </c:pt>
                <c:pt idx="5">
                  <c:v>2.774682982039939</c:v>
                </c:pt>
                <c:pt idx="6">
                  <c:v>54.632551129131215</c:v>
                </c:pt>
                <c:pt idx="7">
                  <c:v>7.2715829874150142</c:v>
                </c:pt>
                <c:pt idx="8">
                  <c:v>2.6790042585213203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88-4DE4-82C0-60F5E1627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094885"/>
        <c:axId val="47906988"/>
      </c:barChart>
      <c:catAx>
        <c:axId val="840948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7906988"/>
        <c:crosses val="autoZero"/>
        <c:auto val="1"/>
        <c:lblAlgn val="ctr"/>
        <c:lblOffset val="100"/>
        <c:noMultiLvlLbl val="0"/>
      </c:catAx>
      <c:valAx>
        <c:axId val="479069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40948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Ganancia Unitaria por Producto (S/.)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'💰 Precio de Venta'!$J$7</c:f>
              <c:strCache>
                <c:ptCount val="1"/>
                <c:pt idx="0">
                  <c:v>GANANCIA
UNIT. (S/.)</c:v>
                </c:pt>
              </c:strCache>
            </c:strRef>
          </c:tx>
          <c:spPr>
            <a:solidFill>
              <a:srgbClr val="49769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Precio de Venta'!$E$8:$E$16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'💰 Precio de Venta'!$J$8:$J$16</c:f>
              <c:numCache>
                <c:formatCode>"S/."#,##0.00</c:formatCode>
                <c:ptCount val="9"/>
                <c:pt idx="0">
                  <c:v>3.92444933754334</c:v>
                </c:pt>
                <c:pt idx="1">
                  <c:v>2.2054756607681578</c:v>
                </c:pt>
                <c:pt idx="2">
                  <c:v>1.2973386239812692</c:v>
                </c:pt>
                <c:pt idx="3">
                  <c:v>1.1027378303840789</c:v>
                </c:pt>
                <c:pt idx="4">
                  <c:v>0.84327010558782511</c:v>
                </c:pt>
                <c:pt idx="5">
                  <c:v>0.94057050238642015</c:v>
                </c:pt>
                <c:pt idx="6">
                  <c:v>18.519508857332617</c:v>
                </c:pt>
                <c:pt idx="7">
                  <c:v>2.4649433855644118</c:v>
                </c:pt>
                <c:pt idx="8">
                  <c:v>0.9081370367868884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E-484F-9EDC-2A2FBDB2B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146468"/>
        <c:axId val="12148201"/>
      </c:barChart>
      <c:catAx>
        <c:axId val="511464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12148201"/>
        <c:crosses val="autoZero"/>
        <c:auto val="1"/>
        <c:lblAlgn val="ctr"/>
        <c:lblOffset val="100"/>
        <c:noMultiLvlLbl val="0"/>
      </c:catAx>
      <c:valAx>
        <c:axId val="121482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511464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Detalle Crédito Fiscal (US$)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'🏦 Crédito Fiscal'!$C$10</c:f>
              <c:strCache>
                <c:ptCount val="1"/>
              </c:strCache>
            </c:strRef>
          </c:tx>
          <c:spPr>
            <a:solidFill>
              <a:srgbClr val="4E8E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'🏦 Crédito Fiscal'!$B$11:$B$15</c:f>
              <c:strCache>
                <c:ptCount val="5"/>
                <c:pt idx="0">
                  <c:v>IGV del Seguro (Crédito Fiscal)</c:v>
                </c:pt>
                <c:pt idx="1">
                  <c:v>IPM — Derechos (Crédito Fiscal)</c:v>
                </c:pt>
                <c:pt idx="2">
                  <c:v>IGV — Derechos (Crédito Fiscal)</c:v>
                </c:pt>
                <c:pt idx="3">
                  <c:v>Percepción IGV (Crédito Fiscal)</c:v>
                </c:pt>
                <c:pt idx="4">
                  <c:v>IGV Gastos Afectos (Crédito Fiscal)</c:v>
                </c:pt>
              </c:strCache>
            </c:strRef>
          </c:cat>
          <c:val>
            <c:numRef>
              <c:f>'🏦 Crédito Fiscal'!$C$11:$C$15</c:f>
              <c:numCache>
                <c:formatCode>"US$"#,##0.00</c:formatCode>
                <c:ptCount val="5"/>
                <c:pt idx="0">
                  <c:v>24.168600000000001</c:v>
                </c:pt>
                <c:pt idx="1">
                  <c:v>348</c:v>
                </c:pt>
                <c:pt idx="2">
                  <c:v>2788</c:v>
                </c:pt>
                <c:pt idx="3">
                  <c:v>719.6</c:v>
                </c:pt>
                <c:pt idx="4">
                  <c:v>179.50319999999996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2-43CA-8270-C93604A7C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201019"/>
        <c:axId val="34411680"/>
      </c:barChart>
      <c:catAx>
        <c:axId val="4820101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34411680"/>
        <c:crosses val="autoZero"/>
        <c:auto val="1"/>
        <c:lblAlgn val="ctr"/>
        <c:lblOffset val="100"/>
        <c:noMultiLvlLbl val="0"/>
      </c:catAx>
      <c:valAx>
        <c:axId val="3441168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&quot;US$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82010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Distribución del Crédito Fiscal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'🏦 Crédito Fiscal'!$C$10</c:f>
              <c:strCache>
                <c:ptCount val="1"/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D83-4DC7-9D4D-C623408D057A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8F3B39"/>
                  </a:gs>
                  <a:gs pos="80000">
                    <a:srgbClr val="BA4D4A"/>
                  </a:gs>
                  <a:gs pos="100000">
                    <a:srgbClr val="BA4D4A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D83-4DC7-9D4D-C623408D057A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738B42"/>
                  </a:gs>
                  <a:gs pos="80000">
                    <a:srgbClr val="96B556"/>
                  </a:gs>
                  <a:gs pos="100000">
                    <a:srgbClr val="96B656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D83-4DC7-9D4D-C623408D057A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rgbClr val="5F4A78"/>
                  </a:gs>
                  <a:gs pos="80000">
                    <a:srgbClr val="7C609C"/>
                  </a:gs>
                  <a:gs pos="100000">
                    <a:srgbClr val="7C619D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D83-4DC7-9D4D-C623408D057A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rgbClr val="378093"/>
                  </a:gs>
                  <a:gs pos="80000">
                    <a:srgbClr val="48A6BF"/>
                  </a:gs>
                  <a:gs pos="100000">
                    <a:srgbClr val="49A7C0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D83-4DC7-9D4D-C623408D057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83-4DC7-9D4D-C623408D057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83-4DC7-9D4D-C623408D057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83-4DC7-9D4D-C623408D057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83-4DC7-9D4D-C623408D057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83-4DC7-9D4D-C623408D05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'🏦 Crédito Fiscal'!$B$11:$B$15</c:f>
              <c:strCache>
                <c:ptCount val="5"/>
                <c:pt idx="0">
                  <c:v>IGV del Seguro (Crédito Fiscal)</c:v>
                </c:pt>
                <c:pt idx="1">
                  <c:v>IPM — Derechos (Crédito Fiscal)</c:v>
                </c:pt>
                <c:pt idx="2">
                  <c:v>IGV — Derechos (Crédito Fiscal)</c:v>
                </c:pt>
                <c:pt idx="3">
                  <c:v>Percepción IGV (Crédito Fiscal)</c:v>
                </c:pt>
                <c:pt idx="4">
                  <c:v>IGV Gastos Afectos (Crédito Fiscal)</c:v>
                </c:pt>
              </c:strCache>
            </c:strRef>
          </c:cat>
          <c:val>
            <c:numRef>
              <c:f>'🏦 Crédito Fiscal'!$C$11:$C$15</c:f>
              <c:numCache>
                <c:formatCode>"US$"#,##0.00</c:formatCode>
                <c:ptCount val="5"/>
                <c:pt idx="0">
                  <c:v>24.168600000000001</c:v>
                </c:pt>
                <c:pt idx="1">
                  <c:v>348</c:v>
                </c:pt>
                <c:pt idx="2">
                  <c:v>2788</c:v>
                </c:pt>
                <c:pt idx="3">
                  <c:v>719.6</c:v>
                </c:pt>
                <c:pt idx="4">
                  <c:v>179.50319999999996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D83-4DC7-9D4D-C623408D0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Composición del Costo de Importación (US$)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'📊 Dashboard'!$O$60</c:f>
              <c:strCache>
                <c:ptCount val="1"/>
                <c:pt idx="0">
                  <c:v>US$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explosion val="10"/>
            <c:extLst>
              <c:ext xmlns:c16="http://schemas.microsoft.com/office/drawing/2014/chart" uri="{C3380CC4-5D6E-409C-BE32-E72D297353CC}">
                <c16:uniqueId val="{00000001-15A0-43A5-892F-7A9A2841463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5A0-43A5-892F-7A9A2841463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5A0-43A5-892F-7A9A28414635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15A0-43A5-892F-7A9A28414635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15A0-43A5-892F-7A9A28414635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15A0-43A5-892F-7A9A28414635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Dashboard'!$N$61:$N$66</c:f>
              <c:strCache>
                <c:ptCount val="6"/>
                <c:pt idx="0">
                  <c:v>FOB Mercadería</c:v>
                </c:pt>
                <c:pt idx="1">
                  <c:v>Flete</c:v>
                </c:pt>
                <c:pt idx="2">
                  <c:v>Seguro</c:v>
                </c:pt>
                <c:pt idx="3">
                  <c:v>Aranceles (ADV)</c:v>
                </c:pt>
                <c:pt idx="4">
                  <c:v>Gastos Operativos</c:v>
                </c:pt>
                <c:pt idx="5">
                  <c:v>Gastos Admin/Fin.</c:v>
                </c:pt>
              </c:strCache>
            </c:strRef>
          </c:cat>
          <c:val>
            <c:numRef>
              <c:f>'📊 Dashboard'!$O$61:$O$66</c:f>
              <c:numCache>
                <c:formatCode>"US$"#,##0</c:formatCode>
                <c:ptCount val="6"/>
                <c:pt idx="0">
                  <c:v>14213.76</c:v>
                </c:pt>
                <c:pt idx="1">
                  <c:v>2090</c:v>
                </c:pt>
                <c:pt idx="2">
                  <c:v>134.27000000000001</c:v>
                </c:pt>
                <c:pt idx="3">
                  <c:v>986</c:v>
                </c:pt>
                <c:pt idx="4">
                  <c:v>997.2399999999999</c:v>
                </c:pt>
                <c:pt idx="5">
                  <c:v>167.5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5A0-43A5-892F-7A9A2841463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Costos por Componente (S/.)</a:t>
            </a:r>
          </a:p>
        </c:rich>
      </c:tx>
      <c:layout>
        <c:manualLayout>
          <c:xMode val="edge"/>
          <c:yMode val="edge"/>
          <c:x val="0.31208293963254591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Dashboard'!$P$60</c:f>
              <c:strCache>
                <c:ptCount val="1"/>
                <c:pt idx="0">
                  <c:v>S/.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Dashboard'!$N$61:$N$66</c:f>
              <c:strCache>
                <c:ptCount val="6"/>
                <c:pt idx="0">
                  <c:v>FOB Mercadería</c:v>
                </c:pt>
                <c:pt idx="1">
                  <c:v>Flete</c:v>
                </c:pt>
                <c:pt idx="2">
                  <c:v>Seguro</c:v>
                </c:pt>
                <c:pt idx="3">
                  <c:v>Aranceles (ADV)</c:v>
                </c:pt>
                <c:pt idx="4">
                  <c:v>Gastos Operativos</c:v>
                </c:pt>
                <c:pt idx="5">
                  <c:v>Gastos Admin/Fin.</c:v>
                </c:pt>
              </c:strCache>
            </c:strRef>
          </c:cat>
          <c:val>
            <c:numRef>
              <c:f>'📊 Dashboard'!$P$61:$P$66</c:f>
              <c:numCache>
                <c:formatCode>"S/"\ #,##0.00</c:formatCode>
                <c:ptCount val="6"/>
                <c:pt idx="0">
                  <c:v>52875.1872</c:v>
                </c:pt>
                <c:pt idx="1">
                  <c:v>7774.8</c:v>
                </c:pt>
                <c:pt idx="2">
                  <c:v>499.48440000000005</c:v>
                </c:pt>
                <c:pt idx="3">
                  <c:v>3667.92</c:v>
                </c:pt>
                <c:pt idx="4">
                  <c:v>3709.7327999999998</c:v>
                </c:pt>
                <c:pt idx="5">
                  <c:v>623.1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F-4A69-AF6F-0A9E9C9CB0F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2661779"/>
        <c:axId val="82017399"/>
      </c:barChart>
      <c:catAx>
        <c:axId val="5266177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2017399"/>
        <c:crosses val="autoZero"/>
        <c:auto val="1"/>
        <c:lblAlgn val="ctr"/>
        <c:lblOffset val="100"/>
        <c:noMultiLvlLbl val="0"/>
      </c:catAx>
      <c:valAx>
        <c:axId val="8201739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526617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Distribución de Tributos Aduaneros (US$)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'📊 Dashboard'!$O$70</c:f>
              <c:strCache>
                <c:ptCount val="1"/>
                <c:pt idx="0">
                  <c:v>Monto US$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951-4CBF-AC3B-5289526E7324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8F3B39"/>
                  </a:gs>
                  <a:gs pos="80000">
                    <a:srgbClr val="BA4D4A"/>
                  </a:gs>
                  <a:gs pos="100000">
                    <a:srgbClr val="BA4D4A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951-4CBF-AC3B-5289526E7324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738B42"/>
                  </a:gs>
                  <a:gs pos="80000">
                    <a:srgbClr val="96B556"/>
                  </a:gs>
                  <a:gs pos="100000">
                    <a:srgbClr val="96B656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951-4CBF-AC3B-5289526E7324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rgbClr val="5F4A78"/>
                  </a:gs>
                  <a:gs pos="80000">
                    <a:srgbClr val="7C609C"/>
                  </a:gs>
                  <a:gs pos="100000">
                    <a:srgbClr val="7C619D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951-4CBF-AC3B-5289526E7324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rgbClr val="378093"/>
                  </a:gs>
                  <a:gs pos="80000">
                    <a:srgbClr val="48A6BF"/>
                  </a:gs>
                  <a:gs pos="100000">
                    <a:srgbClr val="49A7C0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951-4CBF-AC3B-5289526E7324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Dashboard'!$N$71:$N$75</c:f>
              <c:strCache>
                <c:ptCount val="5"/>
                <c:pt idx="0">
                  <c:v>Ad Valorem</c:v>
                </c:pt>
                <c:pt idx="1">
                  <c:v>IPM</c:v>
                </c:pt>
                <c:pt idx="2">
                  <c:v>IGV Aduanas</c:v>
                </c:pt>
                <c:pt idx="3">
                  <c:v>Percepción</c:v>
                </c:pt>
                <c:pt idx="4">
                  <c:v>IGV Seguro</c:v>
                </c:pt>
              </c:strCache>
            </c:strRef>
          </c:cat>
          <c:val>
            <c:numRef>
              <c:f>'📊 Dashboard'!$O$71:$O$75</c:f>
              <c:numCache>
                <c:formatCode>"US$"#,##0</c:formatCode>
                <c:ptCount val="5"/>
                <c:pt idx="0">
                  <c:v>986</c:v>
                </c:pt>
                <c:pt idx="1">
                  <c:v>348</c:v>
                </c:pt>
                <c:pt idx="2">
                  <c:v>2788</c:v>
                </c:pt>
                <c:pt idx="3">
                  <c:v>719.6</c:v>
                </c:pt>
                <c:pt idx="4">
                  <c:v>24.168600000000001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951-4CBF-AC3B-5289526E7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Costo vs Precio de Venta por Producto (S/.)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Dashboard'!$P$80</c:f>
              <c:strCache>
                <c:ptCount val="1"/>
                <c:pt idx="0">
                  <c:v>C/M Unit PEN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Dashboard'!$N$81:$N$89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'📊 Dashboard'!$P$81:$P$89</c:f>
              <c:numCache>
                <c:formatCode>"S/."#,##0.00</c:formatCode>
                <c:ptCount val="9"/>
                <c:pt idx="0">
                  <c:v>5.8866740063150083</c:v>
                </c:pt>
                <c:pt idx="1">
                  <c:v>3.3082134911522361</c:v>
                </c:pt>
                <c:pt idx="2">
                  <c:v>1.9460079359719038</c:v>
                </c:pt>
                <c:pt idx="3">
                  <c:v>1.654106745576118</c:v>
                </c:pt>
                <c:pt idx="4">
                  <c:v>1.2649051583817372</c:v>
                </c:pt>
                <c:pt idx="5">
                  <c:v>1.41085575357963</c:v>
                </c:pt>
                <c:pt idx="6">
                  <c:v>27.779263285998923</c:v>
                </c:pt>
                <c:pt idx="7">
                  <c:v>3.6974150783466171</c:v>
                </c:pt>
                <c:pt idx="8">
                  <c:v>1.3622055551803325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2-4CFB-8615-B0243C6A492B}"/>
            </c:ext>
          </c:extLst>
        </c:ser>
        <c:ser>
          <c:idx val="1"/>
          <c:order val="1"/>
          <c:tx>
            <c:strRef>
              <c:f>'📊 Dashboard'!$Q$80</c:f>
              <c:strCache>
                <c:ptCount val="1"/>
                <c:pt idx="0">
                  <c:v>PV Unit PEN</c:v>
                </c:pt>
              </c:strCache>
            </c:strRef>
          </c:tx>
          <c:spPr>
            <a:solidFill>
              <a:srgbClr val="D0949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Dashboard'!$N$81:$N$89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'📊 Dashboard'!$Q$81:$Q$89</c:f>
              <c:numCache>
                <c:formatCode>"S/."#,##0.00</c:formatCode>
                <c:ptCount val="9"/>
                <c:pt idx="0">
                  <c:v>9.8111233438583483</c:v>
                </c:pt>
                <c:pt idx="1">
                  <c:v>5.5136891519203939</c:v>
                </c:pt>
                <c:pt idx="2">
                  <c:v>3.243346559953173</c:v>
                </c:pt>
                <c:pt idx="3">
                  <c:v>2.7568445759601969</c:v>
                </c:pt>
                <c:pt idx="4">
                  <c:v>2.1081752639695623</c:v>
                </c:pt>
                <c:pt idx="5">
                  <c:v>2.3514262559660501</c:v>
                </c:pt>
                <c:pt idx="6">
                  <c:v>46.29877214333154</c:v>
                </c:pt>
                <c:pt idx="7">
                  <c:v>6.1623584639110289</c:v>
                </c:pt>
                <c:pt idx="8">
                  <c:v>2.2703425919672209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52-4CFB-8615-B0243C6A49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9245418"/>
        <c:axId val="70960730"/>
      </c:barChart>
      <c:catAx>
        <c:axId val="692454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70960730"/>
        <c:crosses val="autoZero"/>
        <c:auto val="1"/>
        <c:lblAlgn val="ctr"/>
        <c:lblOffset val="100"/>
        <c:noMultiLvlLbl val="0"/>
      </c:catAx>
      <c:valAx>
        <c:axId val="709607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92454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FOB Total por Producto (US$)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Dashboard'!$O$80</c:f>
              <c:strCache>
                <c:ptCount val="1"/>
                <c:pt idx="0">
                  <c:v>FOB Total US$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Dashboard'!$N$81:$N$89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'📊 Dashboard'!$O$81:$O$89</c:f>
              <c:numCache>
                <c:formatCode>[$$-540A]#,##0</c:formatCode>
                <c:ptCount val="9"/>
                <c:pt idx="0">
                  <c:v>580.79999999999995</c:v>
                </c:pt>
                <c:pt idx="1">
                  <c:v>1958.4</c:v>
                </c:pt>
                <c:pt idx="2">
                  <c:v>1152</c:v>
                </c:pt>
                <c:pt idx="3">
                  <c:v>3476.1600000000003</c:v>
                </c:pt>
                <c:pt idx="4">
                  <c:v>2246.4</c:v>
                </c:pt>
                <c:pt idx="5">
                  <c:v>626.4</c:v>
                </c:pt>
                <c:pt idx="6">
                  <c:v>1370.4</c:v>
                </c:pt>
                <c:pt idx="7">
                  <c:v>1459.2</c:v>
                </c:pt>
                <c:pt idx="8">
                  <c:v>1344.0000000000002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2-409F-8355-009E2B91E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658713"/>
        <c:axId val="23386600"/>
      </c:barChart>
      <c:catAx>
        <c:axId val="6065871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23386600"/>
        <c:crosses val="autoZero"/>
        <c:auto val="1"/>
        <c:lblAlgn val="ctr"/>
        <c:lblOffset val="100"/>
        <c:noMultiLvlLbl val="0"/>
      </c:catAx>
      <c:valAx>
        <c:axId val="2338660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06587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Ganancia Unitaria por Producto (S/.)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Dashboard'!$R$80</c:f>
              <c:strCache>
                <c:ptCount val="1"/>
                <c:pt idx="0">
                  <c:v>Ganancia Unit PEN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Dashboard'!$N$81:$N$89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'📊 Dashboard'!$R$81:$R$89</c:f>
              <c:numCache>
                <c:formatCode>"S/."#,##0.0</c:formatCode>
                <c:ptCount val="9"/>
                <c:pt idx="0">
                  <c:v>3.92444933754334</c:v>
                </c:pt>
                <c:pt idx="1">
                  <c:v>2.2054756607681578</c:v>
                </c:pt>
                <c:pt idx="2">
                  <c:v>1.2973386239812692</c:v>
                </c:pt>
                <c:pt idx="3">
                  <c:v>1.1027378303840789</c:v>
                </c:pt>
                <c:pt idx="4">
                  <c:v>0.84327010558782511</c:v>
                </c:pt>
                <c:pt idx="5">
                  <c:v>0.94057050238642015</c:v>
                </c:pt>
                <c:pt idx="6">
                  <c:v>18.519508857332617</c:v>
                </c:pt>
                <c:pt idx="7">
                  <c:v>2.4649433855644118</c:v>
                </c:pt>
                <c:pt idx="8">
                  <c:v>0.9081370367868884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4-4D54-9333-2E51B6BFD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88957"/>
        <c:axId val="66832347"/>
      </c:barChart>
      <c:catAx>
        <c:axId val="809889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6832347"/>
        <c:crosses val="autoZero"/>
        <c:auto val="1"/>
        <c:lblAlgn val="ctr"/>
        <c:lblOffset val="100"/>
        <c:noMultiLvlLbl val="0"/>
      </c:catAx>
      <c:valAx>
        <c:axId val="668323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09889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ADV (Costo) vs Crédito Fiscal por Concepto (US$)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Dashboard'!$O$90</c:f>
              <c:strCache>
                <c:ptCount val="1"/>
                <c:pt idx="0">
                  <c:v>Monto US$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Dashboard'!$N$91:$N$96</c:f>
              <c:strCache>
                <c:ptCount val="6"/>
                <c:pt idx="0">
                  <c:v>Ad Valorem</c:v>
                </c:pt>
                <c:pt idx="1">
                  <c:v>IPM</c:v>
                </c:pt>
                <c:pt idx="2">
                  <c:v>IGV Aduanas</c:v>
                </c:pt>
                <c:pt idx="3">
                  <c:v>Percepción</c:v>
                </c:pt>
                <c:pt idx="4">
                  <c:v>IGV Seguro</c:v>
                </c:pt>
                <c:pt idx="5">
                  <c:v>IGV Gastos</c:v>
                </c:pt>
              </c:strCache>
            </c:strRef>
          </c:cat>
          <c:val>
            <c:numRef>
              <c:f>'📊 Dashboard'!$O$91:$O$96</c:f>
              <c:numCache>
                <c:formatCode>"US$"#,##0</c:formatCode>
                <c:ptCount val="6"/>
                <c:pt idx="0">
                  <c:v>986</c:v>
                </c:pt>
                <c:pt idx="1">
                  <c:v>348</c:v>
                </c:pt>
                <c:pt idx="2">
                  <c:v>2788</c:v>
                </c:pt>
                <c:pt idx="3">
                  <c:v>719.6</c:v>
                </c:pt>
                <c:pt idx="4">
                  <c:v>24.168600000000001</c:v>
                </c:pt>
                <c:pt idx="5">
                  <c:v>179.50319999999996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5-4CA9-AE04-EA8408A85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773249"/>
        <c:axId val="84517053"/>
      </c:barChart>
      <c:catAx>
        <c:axId val="327732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4517053"/>
        <c:crosses val="autoZero"/>
        <c:auto val="1"/>
        <c:lblAlgn val="ctr"/>
        <c:lblOffset val="100"/>
        <c:noMultiLvlLbl val="0"/>
      </c:catAx>
      <c:valAx>
        <c:axId val="845170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US$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327732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Costo Real vs Crédito Fiscal Recuperable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'📊 Dashboard'!$O$100</c:f>
              <c:strCache>
                <c:ptCount val="1"/>
                <c:pt idx="0">
                  <c:v>US$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9FD-4AA2-9149-B958FC0066F0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8F3B39"/>
                  </a:gs>
                  <a:gs pos="80000">
                    <a:srgbClr val="BA4D4A"/>
                  </a:gs>
                  <a:gs pos="100000">
                    <a:srgbClr val="BA4D4A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9FD-4AA2-9149-B958FC0066F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FD-4AA2-9149-B958FC0066F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FD-4AA2-9149-B958FC0066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Dashboard'!$N$101:$N$102</c:f>
              <c:strCache>
                <c:ptCount val="2"/>
                <c:pt idx="0">
                  <c:v>Costo Real (ADV)</c:v>
                </c:pt>
                <c:pt idx="1">
                  <c:v>Crédito Fiscal</c:v>
                </c:pt>
              </c:strCache>
            </c:strRef>
          </c:cat>
          <c:val>
            <c:numRef>
              <c:f>'📊 Dashboard'!$O$101:$O$102</c:f>
              <c:numCache>
                <c:formatCode>"US$"#,##0.00</c:formatCode>
                <c:ptCount val="2"/>
                <c:pt idx="0">
                  <c:v>986</c:v>
                </c:pt>
                <c:pt idx="1">
                  <c:v>4059.2718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FD-4AA2-9149-B958FC006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0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s-PE" sz="2000">
                <a:solidFill>
                  <a:schemeClr val="tx1">
                    <a:lumMod val="65000"/>
                    <a:lumOff val="35000"/>
                  </a:schemeClr>
                </a:solidFill>
              </a:rPr>
              <a:t>Costos por Componente (S/.)</a:t>
            </a:r>
          </a:p>
        </c:rich>
      </c:tx>
      <c:layout>
        <c:manualLayout>
          <c:xMode val="edge"/>
          <c:yMode val="edge"/>
          <c:x val="0.29538578235014562"/>
          <c:y val="2.5000000000000001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Dashboard'!$P$60</c:f>
              <c:strCache>
                <c:ptCount val="1"/>
                <c:pt idx="0">
                  <c:v>S/.</c:v>
                </c:pt>
              </c:strCache>
            </c:strRef>
          </c:tx>
          <c:spPr>
            <a:solidFill>
              <a:srgbClr val="6EA2B3"/>
            </a:solidFill>
            <a:ln w="0">
              <a:noFill/>
            </a:ln>
            <a:effectLst>
              <a:glow>
                <a:schemeClr val="accent1">
                  <a:alpha val="40000"/>
                </a:schemeClr>
              </a:glow>
              <a:outerShdw dir="21540000" rotWithShape="0">
                <a:srgbClr val="49769F">
                  <a:alpha val="40000"/>
                </a:srgbClr>
              </a:outerShdw>
              <a:softEdge rad="0"/>
            </a:effectLst>
            <a:scene3d>
              <a:camera prst="orthographicFront"/>
              <a:lightRig rig="threePt" dir="t"/>
            </a:scene3d>
            <a:sp3d>
              <a:bevelT w="0"/>
              <a:bevelB w="114300" prst="hardEdge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/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Dashboard'!$N$61:$N$66</c:f>
              <c:strCache>
                <c:ptCount val="6"/>
                <c:pt idx="0">
                  <c:v>FOB Mercadería</c:v>
                </c:pt>
                <c:pt idx="1">
                  <c:v>Flete</c:v>
                </c:pt>
                <c:pt idx="2">
                  <c:v>Seguro</c:v>
                </c:pt>
                <c:pt idx="3">
                  <c:v>Aranceles (ADV)</c:v>
                </c:pt>
                <c:pt idx="4">
                  <c:v>Gastos Operativos</c:v>
                </c:pt>
                <c:pt idx="5">
                  <c:v>Gastos Admin/Fin.</c:v>
                </c:pt>
              </c:strCache>
            </c:strRef>
          </c:cat>
          <c:val>
            <c:numRef>
              <c:f>'📊 Dashboard'!$P$61:$P$66</c:f>
              <c:numCache>
                <c:formatCode>"S/"\ #,##0.00</c:formatCode>
                <c:ptCount val="6"/>
                <c:pt idx="0">
                  <c:v>52875.1872</c:v>
                </c:pt>
                <c:pt idx="1">
                  <c:v>7774.8</c:v>
                </c:pt>
                <c:pt idx="2">
                  <c:v>499.48440000000005</c:v>
                </c:pt>
                <c:pt idx="3">
                  <c:v>3667.92</c:v>
                </c:pt>
                <c:pt idx="4">
                  <c:v>3709.7327999999998</c:v>
                </c:pt>
                <c:pt idx="5">
                  <c:v>623.1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B-47C3-8242-CA17F3E5E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61779"/>
        <c:axId val="82017399"/>
      </c:barChart>
      <c:catAx>
        <c:axId val="5266177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100" b="1"/>
            </a:pPr>
            <a:endParaRPr lang="es-PE"/>
          </a:p>
        </c:txPr>
        <c:crossAx val="82017399"/>
        <c:crosses val="autoZero"/>
        <c:auto val="1"/>
        <c:lblAlgn val="ctr"/>
        <c:lblOffset val="100"/>
        <c:noMultiLvlLbl val="0"/>
      </c:catAx>
      <c:valAx>
        <c:axId val="820173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526617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  <a:effectLst>
      <a:glow rad="12700">
        <a:schemeClr val="accent1">
          <a:alpha val="77000"/>
        </a:schemeClr>
      </a:glow>
      <a:softEdge rad="88900"/>
    </a:effectLst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000" b="1" strike="noStrike" spc="-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lang="es-PE" sz="2000" b="1" strike="noStrike" spc="-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Composición del Costo de Importación (US$)</a:t>
            </a:r>
          </a:p>
        </c:rich>
      </c:tx>
      <c:layout>
        <c:manualLayout>
          <c:xMode val="edge"/>
          <c:yMode val="edge"/>
          <c:x val="0.11678552207828155"/>
          <c:y val="4.4408617010950422E-3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088191878331102E-2"/>
          <c:y val="0.28378479850777216"/>
          <c:w val="0.47246556014556612"/>
          <c:h val="0.61722734172070182"/>
        </c:manualLayout>
      </c:layout>
      <c:pieChart>
        <c:varyColors val="1"/>
        <c:ser>
          <c:idx val="0"/>
          <c:order val="0"/>
          <c:tx>
            <c:strRef>
              <c:f>'📊 Dashboard'!$O$60</c:f>
              <c:strCache>
                <c:ptCount val="1"/>
                <c:pt idx="0">
                  <c:v>US$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explosion val="10"/>
            <c:spPr>
              <a:solidFill>
                <a:srgbClr val="ACBBC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C0C-451D-9560-033343A8415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C0C-451D-9560-033343A8415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C0C-451D-9560-033343A8415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8C0C-451D-9560-033343A8415E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8C0C-451D-9560-033343A8415E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8C0C-451D-9560-033343A8415E}"/>
              </c:ext>
            </c:extLst>
          </c:dPt>
          <c:dLbls>
            <c:dLbl>
              <c:idx val="0"/>
              <c:layout>
                <c:manualLayout>
                  <c:x val="-0.2417193391043754"/>
                  <c:y val="2.691422098694660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0C-451D-9560-033343A8415E}"/>
                </c:ext>
              </c:extLst>
            </c:dLbl>
            <c:dLbl>
              <c:idx val="2"/>
              <c:layout>
                <c:manualLayout>
                  <c:x val="3.6624142288541718E-3"/>
                  <c:y val="-0.1704567329173285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0C-451D-9560-033343A8415E}"/>
                </c:ext>
              </c:extLst>
            </c:dLbl>
            <c:dLbl>
              <c:idx val="3"/>
              <c:layout>
                <c:manualLayout>
                  <c:x val="-0.20875761104468779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0C-451D-9560-033343A841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/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Dashboard'!$N$61:$N$66</c:f>
              <c:strCache>
                <c:ptCount val="6"/>
                <c:pt idx="0">
                  <c:v>FOB Mercadería</c:v>
                </c:pt>
                <c:pt idx="1">
                  <c:v>Flete</c:v>
                </c:pt>
                <c:pt idx="2">
                  <c:v>Seguro</c:v>
                </c:pt>
                <c:pt idx="3">
                  <c:v>Aranceles (ADV)</c:v>
                </c:pt>
                <c:pt idx="4">
                  <c:v>Gastos Operativos</c:v>
                </c:pt>
                <c:pt idx="5">
                  <c:v>Gastos Admin/Fin.</c:v>
                </c:pt>
              </c:strCache>
            </c:strRef>
          </c:cat>
          <c:val>
            <c:numRef>
              <c:f>'📊 Dashboard'!$O$61:$O$66</c:f>
              <c:numCache>
                <c:formatCode>"US$"#,##0</c:formatCode>
                <c:ptCount val="6"/>
                <c:pt idx="0">
                  <c:v>14213.76</c:v>
                </c:pt>
                <c:pt idx="1">
                  <c:v>2090</c:v>
                </c:pt>
                <c:pt idx="2">
                  <c:v>134.27000000000001</c:v>
                </c:pt>
                <c:pt idx="3">
                  <c:v>986</c:v>
                </c:pt>
                <c:pt idx="4">
                  <c:v>997.2399999999999</c:v>
                </c:pt>
                <c:pt idx="5">
                  <c:v>167.5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C0C-451D-9560-033343A84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57950549133162865"/>
          <c:y val="0.27890696476356314"/>
          <c:w val="0.35512355567654935"/>
          <c:h val="0.6032606807449035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5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400" b="1" strike="noStrike" spc="-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lang="es-PE" sz="2400" b="1" strike="noStrike" spc="-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Costo vs Precio de Venta por Producto (S/.)</a:t>
            </a:r>
          </a:p>
        </c:rich>
      </c:tx>
      <c:layout>
        <c:manualLayout>
          <c:xMode val="edge"/>
          <c:yMode val="edge"/>
          <c:x val="0.19935445776469971"/>
          <c:y val="2.1963711452173153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Dashboard'!$P$80</c:f>
              <c:strCache>
                <c:ptCount val="1"/>
                <c:pt idx="0">
                  <c:v>C/M Unit PEN</c:v>
                </c:pt>
              </c:strCache>
            </c:strRef>
          </c:tx>
          <c:spPr>
            <a:solidFill>
              <a:srgbClr val="49769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Dashboard'!$N$81:$N$89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'📊 Dashboard'!$P$81:$P$89</c:f>
              <c:numCache>
                <c:formatCode>"S/."#,##0.00</c:formatCode>
                <c:ptCount val="9"/>
                <c:pt idx="0">
                  <c:v>5.8866740063150083</c:v>
                </c:pt>
                <c:pt idx="1">
                  <c:v>3.3082134911522361</c:v>
                </c:pt>
                <c:pt idx="2">
                  <c:v>1.9460079359719038</c:v>
                </c:pt>
                <c:pt idx="3">
                  <c:v>1.654106745576118</c:v>
                </c:pt>
                <c:pt idx="4">
                  <c:v>1.2649051583817372</c:v>
                </c:pt>
                <c:pt idx="5">
                  <c:v>1.41085575357963</c:v>
                </c:pt>
                <c:pt idx="6">
                  <c:v>27.779263285998923</c:v>
                </c:pt>
                <c:pt idx="7">
                  <c:v>3.6974150783466171</c:v>
                </c:pt>
                <c:pt idx="8">
                  <c:v>1.3622055551803325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2-4599-8640-E3A3C919167A}"/>
            </c:ext>
          </c:extLst>
        </c:ser>
        <c:ser>
          <c:idx val="1"/>
          <c:order val="1"/>
          <c:tx>
            <c:strRef>
              <c:f>'📊 Dashboard'!$Q$80</c:f>
              <c:strCache>
                <c:ptCount val="1"/>
                <c:pt idx="0">
                  <c:v>PV Unit PEN</c:v>
                </c:pt>
              </c:strCache>
            </c:strRef>
          </c:tx>
          <c:spPr>
            <a:solidFill>
              <a:srgbClr val="6EA2B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Dashboard'!$N$81:$N$89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'📊 Dashboard'!$Q$81:$Q$89</c:f>
              <c:numCache>
                <c:formatCode>"S/."#,##0.00</c:formatCode>
                <c:ptCount val="9"/>
                <c:pt idx="0">
                  <c:v>9.8111233438583483</c:v>
                </c:pt>
                <c:pt idx="1">
                  <c:v>5.5136891519203939</c:v>
                </c:pt>
                <c:pt idx="2">
                  <c:v>3.243346559953173</c:v>
                </c:pt>
                <c:pt idx="3">
                  <c:v>2.7568445759601969</c:v>
                </c:pt>
                <c:pt idx="4">
                  <c:v>2.1081752639695623</c:v>
                </c:pt>
                <c:pt idx="5">
                  <c:v>2.3514262559660501</c:v>
                </c:pt>
                <c:pt idx="6">
                  <c:v>46.29877214333154</c:v>
                </c:pt>
                <c:pt idx="7">
                  <c:v>6.1623584639110289</c:v>
                </c:pt>
                <c:pt idx="8">
                  <c:v>2.2703425919672209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02-4599-8640-E3A3C91916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9245418"/>
        <c:axId val="70960730"/>
      </c:barChart>
      <c:catAx>
        <c:axId val="692454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70960730"/>
        <c:crosses val="autoZero"/>
        <c:auto val="1"/>
        <c:lblAlgn val="ctr"/>
        <c:lblOffset val="100"/>
        <c:noMultiLvlLbl val="0"/>
      </c:catAx>
      <c:valAx>
        <c:axId val="70960730"/>
        <c:scaling>
          <c:orientation val="minMax"/>
        </c:scaling>
        <c:delete val="0"/>
        <c:axPos val="l"/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92454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400" b="1" strike="noStrike" spc="-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lang="es-PE" sz="2400" b="1" strike="noStrike" spc="-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Ganancia Unitaria por Producto (S/.)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077010235539399E-2"/>
          <c:y val="3.7497496199545399E-2"/>
          <c:w val="0.94959934383202105"/>
          <c:h val="0.764298756857026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'📊 Dashboard'!$R$80</c:f>
              <c:strCache>
                <c:ptCount val="1"/>
                <c:pt idx="0">
                  <c:v>Ganancia Unit PEN</c:v>
                </c:pt>
              </c:strCache>
            </c:strRef>
          </c:tx>
          <c:spPr>
            <a:solidFill>
              <a:srgbClr val="49769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600" b="1"/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Dashboard'!$N$81:$N$89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'📊 Dashboard'!$R$81:$R$89</c:f>
              <c:numCache>
                <c:formatCode>"S/."#,##0.0</c:formatCode>
                <c:ptCount val="9"/>
                <c:pt idx="0">
                  <c:v>3.92444933754334</c:v>
                </c:pt>
                <c:pt idx="1">
                  <c:v>2.2054756607681578</c:v>
                </c:pt>
                <c:pt idx="2">
                  <c:v>1.2973386239812692</c:v>
                </c:pt>
                <c:pt idx="3">
                  <c:v>1.1027378303840789</c:v>
                </c:pt>
                <c:pt idx="4">
                  <c:v>0.84327010558782511</c:v>
                </c:pt>
                <c:pt idx="5">
                  <c:v>0.94057050238642015</c:v>
                </c:pt>
                <c:pt idx="6">
                  <c:v>18.519508857332617</c:v>
                </c:pt>
                <c:pt idx="7">
                  <c:v>2.4649433855644118</c:v>
                </c:pt>
                <c:pt idx="8">
                  <c:v>0.9081370367868884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4-4B4F-ACF0-5DA4321B0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88957"/>
        <c:axId val="66832347"/>
      </c:barChart>
      <c:catAx>
        <c:axId val="809889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6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6832347"/>
        <c:crosses val="autoZero"/>
        <c:auto val="1"/>
        <c:lblAlgn val="ctr"/>
        <c:lblOffset val="100"/>
        <c:noMultiLvlLbl val="0"/>
      </c:catAx>
      <c:valAx>
        <c:axId val="66832347"/>
        <c:scaling>
          <c:orientation val="minMax"/>
        </c:scaling>
        <c:delete val="0"/>
        <c:axPos val="l"/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09889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000" b="1" strike="noStrike" spc="-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lang="es-PE" sz="2000" b="1" strike="noStrike" spc="-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Distribución de Tributos Aduaneros (US$)</a:t>
            </a:r>
          </a:p>
        </c:rich>
      </c:tx>
      <c:layout>
        <c:manualLayout>
          <c:xMode val="edge"/>
          <c:yMode val="edge"/>
          <c:x val="0.19432600815036979"/>
          <c:y val="8.5845506238388294E-3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21851400463231"/>
          <c:y val="0.28085270243544719"/>
          <c:w val="0.48201750901544926"/>
          <c:h val="0.68098219067540311"/>
        </c:manualLayout>
      </c:layout>
      <c:pieChart>
        <c:varyColors val="1"/>
        <c:ser>
          <c:idx val="0"/>
          <c:order val="0"/>
          <c:tx>
            <c:strRef>
              <c:f>'📊 Dashboard'!$O$70</c:f>
              <c:strCache>
                <c:ptCount val="1"/>
                <c:pt idx="0">
                  <c:v>Monto US$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spPr>
              <a:solidFill>
                <a:srgbClr val="6EA2B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0-8D4C-4432-839B-1DC7FFBEE48C}"/>
              </c:ext>
            </c:extLst>
          </c:dPt>
          <c:dPt>
            <c:idx val="1"/>
            <c:bubble3D val="0"/>
            <c:spPr>
              <a:solidFill>
                <a:srgbClr val="BDD8E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8D4C-4432-839B-1DC7FFBEE48C}"/>
              </c:ext>
            </c:extLst>
          </c:dPt>
          <c:dPt>
            <c:idx val="2"/>
            <c:bubble3D val="0"/>
            <c:spPr>
              <a:solidFill>
                <a:srgbClr val="7BBDE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8D4C-4432-839B-1DC7FFBEE48C}"/>
              </c:ext>
            </c:extLst>
          </c:dPt>
          <c:dPt>
            <c:idx val="3"/>
            <c:bubble3D val="0"/>
            <c:spPr>
              <a:solidFill>
                <a:srgbClr val="49769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8D4C-4432-839B-1DC7FFBEE48C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rgbClr val="378093"/>
                  </a:gs>
                  <a:gs pos="80000">
                    <a:srgbClr val="48A6BF"/>
                  </a:gs>
                  <a:gs pos="100000">
                    <a:srgbClr val="49A7C0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8D4C-4432-839B-1DC7FFBEE48C}"/>
              </c:ext>
            </c:extLst>
          </c:dPt>
          <c:dLbls>
            <c:dLbl>
              <c:idx val="4"/>
              <c:layout>
                <c:manualLayout>
                  <c:x val="0.20217177054146501"/>
                  <c:y val="0.4457266600026849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4C-4432-839B-1DC7FFBEE4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s-P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Dashboard'!$N$71:$N$75</c:f>
              <c:strCache>
                <c:ptCount val="5"/>
                <c:pt idx="0">
                  <c:v>Ad Valorem</c:v>
                </c:pt>
                <c:pt idx="1">
                  <c:v>IPM</c:v>
                </c:pt>
                <c:pt idx="2">
                  <c:v>IGV Aduanas</c:v>
                </c:pt>
                <c:pt idx="3">
                  <c:v>Percepción</c:v>
                </c:pt>
                <c:pt idx="4">
                  <c:v>IGV Seguro</c:v>
                </c:pt>
              </c:strCache>
            </c:strRef>
          </c:cat>
          <c:val>
            <c:numRef>
              <c:f>'📊 Dashboard'!$O$71:$O$75</c:f>
              <c:numCache>
                <c:formatCode>"US$"#,##0</c:formatCode>
                <c:ptCount val="5"/>
                <c:pt idx="0">
                  <c:v>986</c:v>
                </c:pt>
                <c:pt idx="1">
                  <c:v>348</c:v>
                </c:pt>
                <c:pt idx="2">
                  <c:v>2788</c:v>
                </c:pt>
                <c:pt idx="3">
                  <c:v>719.6</c:v>
                </c:pt>
                <c:pt idx="4">
                  <c:v>24.168600000000001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D4C-4432-839B-1DC7FFBEE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4058723738839729"/>
          <c:y val="0.35873042338468114"/>
          <c:w val="0.3399475153582589"/>
          <c:h val="0.525226748776935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4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FOB Total por Producto (US$)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Dashboard'!$O$80</c:f>
              <c:strCache>
                <c:ptCount val="1"/>
                <c:pt idx="0">
                  <c:v>FOB Total US$</c:v>
                </c:pt>
              </c:strCache>
            </c:strRef>
          </c:tx>
          <c:spPr>
            <a:solidFill>
              <a:srgbClr val="0A417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Dashboard'!$N$81:$N$89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'📊 Dashboard'!$O$81:$O$89</c:f>
              <c:numCache>
                <c:formatCode>[$$-540A]#,##0</c:formatCode>
                <c:ptCount val="9"/>
                <c:pt idx="0">
                  <c:v>580.79999999999995</c:v>
                </c:pt>
                <c:pt idx="1">
                  <c:v>1958.4</c:v>
                </c:pt>
                <c:pt idx="2">
                  <c:v>1152</c:v>
                </c:pt>
                <c:pt idx="3">
                  <c:v>3476.1600000000003</c:v>
                </c:pt>
                <c:pt idx="4">
                  <c:v>2246.4</c:v>
                </c:pt>
                <c:pt idx="5">
                  <c:v>626.4</c:v>
                </c:pt>
                <c:pt idx="6">
                  <c:v>1370.4</c:v>
                </c:pt>
                <c:pt idx="7">
                  <c:v>1459.2</c:v>
                </c:pt>
                <c:pt idx="8">
                  <c:v>1344.0000000000002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3-489E-8806-A0556ACE5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658713"/>
        <c:axId val="23386600"/>
      </c:barChart>
      <c:catAx>
        <c:axId val="6065871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23386600"/>
        <c:crosses val="autoZero"/>
        <c:auto val="1"/>
        <c:lblAlgn val="ctr"/>
        <c:lblOffset val="100"/>
        <c:noMultiLvlLbl val="0"/>
      </c:catAx>
      <c:valAx>
        <c:axId val="2338660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06587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s-PE" sz="1800" b="1">
                <a:solidFill>
                  <a:schemeClr val="tx1">
                    <a:lumMod val="65000"/>
                    <a:lumOff val="35000"/>
                  </a:schemeClr>
                </a:solidFill>
              </a:rPr>
              <a:t>ADV (Costo) vs Crédito Fiscal por Concepto (US$)</a:t>
            </a:r>
          </a:p>
        </c:rich>
      </c:tx>
      <c:layout>
        <c:manualLayout>
          <c:xMode val="edge"/>
          <c:yMode val="edge"/>
          <c:x val="0.13694682758537541"/>
          <c:y val="1.1139022011409165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Dashboard'!$O$90</c:f>
              <c:strCache>
                <c:ptCount val="1"/>
                <c:pt idx="0">
                  <c:v>Monto US$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Dashboard'!$N$91:$N$96</c:f>
              <c:strCache>
                <c:ptCount val="6"/>
                <c:pt idx="0">
                  <c:v>Ad Valorem</c:v>
                </c:pt>
                <c:pt idx="1">
                  <c:v>IPM</c:v>
                </c:pt>
                <c:pt idx="2">
                  <c:v>IGV Aduanas</c:v>
                </c:pt>
                <c:pt idx="3">
                  <c:v>Percepción</c:v>
                </c:pt>
                <c:pt idx="4">
                  <c:v>IGV Seguro</c:v>
                </c:pt>
                <c:pt idx="5">
                  <c:v>IGV Gastos</c:v>
                </c:pt>
              </c:strCache>
            </c:strRef>
          </c:cat>
          <c:val>
            <c:numRef>
              <c:f>'📊 Dashboard'!$O$91:$O$96</c:f>
              <c:numCache>
                <c:formatCode>"US$"#,##0</c:formatCode>
                <c:ptCount val="6"/>
                <c:pt idx="0">
                  <c:v>986</c:v>
                </c:pt>
                <c:pt idx="1">
                  <c:v>348</c:v>
                </c:pt>
                <c:pt idx="2">
                  <c:v>2788</c:v>
                </c:pt>
                <c:pt idx="3">
                  <c:v>719.6</c:v>
                </c:pt>
                <c:pt idx="4">
                  <c:v>24.168600000000001</c:v>
                </c:pt>
                <c:pt idx="5">
                  <c:v>179.50319999999996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1-4429-8CED-F5CCCB1B06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2773249"/>
        <c:axId val="84517053"/>
      </c:barChart>
      <c:catAx>
        <c:axId val="327732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200"/>
            </a:pPr>
            <a:endParaRPr lang="es-PE"/>
          </a:p>
        </c:txPr>
        <c:crossAx val="84517053"/>
        <c:crosses val="autoZero"/>
        <c:auto val="1"/>
        <c:lblAlgn val="ctr"/>
        <c:lblOffset val="100"/>
        <c:noMultiLvlLbl val="0"/>
      </c:catAx>
      <c:valAx>
        <c:axId val="84517053"/>
        <c:scaling>
          <c:orientation val="minMax"/>
        </c:scaling>
        <c:delete val="0"/>
        <c:axPos val="l"/>
        <c:numFmt formatCode="&quot;US$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27732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txPr>
    <a:bodyPr/>
    <a:lstStyle/>
    <a:p>
      <a:pPr>
        <a:defRPr sz="1050"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Costo Real vs Crédito Fiscal Recuperable</a:t>
            </a:r>
          </a:p>
        </c:rich>
      </c:tx>
      <c:layout>
        <c:manualLayout>
          <c:xMode val="edge"/>
          <c:yMode val="edge"/>
          <c:x val="0.18849418536136223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265375602600789E-2"/>
          <c:y val="0.23396258256491964"/>
          <c:w val="0.46057272246996728"/>
          <c:h val="0.66313843689907903"/>
        </c:manualLayout>
      </c:layout>
      <c:pieChart>
        <c:varyColors val="1"/>
        <c:ser>
          <c:idx val="0"/>
          <c:order val="0"/>
          <c:tx>
            <c:strRef>
              <c:f>'📊 Dashboard'!$O$100</c:f>
              <c:strCache>
                <c:ptCount val="1"/>
                <c:pt idx="0">
                  <c:v>US$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BDB-4010-A3A8-55274C372E1E}"/>
              </c:ext>
            </c:extLst>
          </c:dPt>
          <c:dPt>
            <c:idx val="1"/>
            <c:bubble3D val="0"/>
            <c:explosion val="17"/>
            <c:spPr>
              <a:solidFill>
                <a:srgbClr val="0020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4BDB-4010-A3A8-55274C372E1E}"/>
              </c:ext>
            </c:extLst>
          </c:dPt>
          <c:dLbls>
            <c:dLbl>
              <c:idx val="1"/>
              <c:layout>
                <c:manualLayout>
                  <c:x val="4.3306562490966365E-2"/>
                  <c:y val="-0.6337934393108074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050" b="1"/>
                  </a:pPr>
                  <a:endParaRPr lang="es-PE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DB-4010-A3A8-55274C372E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s-P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Dashboard'!$N$101:$N$102</c:f>
              <c:strCache>
                <c:ptCount val="2"/>
                <c:pt idx="0">
                  <c:v>Costo Real (ADV)</c:v>
                </c:pt>
                <c:pt idx="1">
                  <c:v>Crédito Fiscal</c:v>
                </c:pt>
              </c:strCache>
            </c:strRef>
          </c:cat>
          <c:val>
            <c:numRef>
              <c:f>'📊 Dashboard'!$O$101:$O$102</c:f>
              <c:numCache>
                <c:formatCode>"US$"#,##0.00</c:formatCode>
                <c:ptCount val="2"/>
                <c:pt idx="0">
                  <c:v>986</c:v>
                </c:pt>
                <c:pt idx="1">
                  <c:v>4059.2718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DB-4010-A3A8-55274C372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1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57078277126982191"/>
          <c:y val="0.37073339612175987"/>
          <c:w val="0.40732667174765069"/>
          <c:h val="0.4841517130527542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6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'[1]🔍 Detalle x Producto'!$C$200</c:f>
              <c:strCache>
                <c:ptCount val="1"/>
                <c:pt idx="0">
                  <c:v>Ganancia Total S/.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'[1]🔍 Detalle x Producto'!$B$201:$B$209</c:f>
              <c:strCache>
                <c:ptCount val="9"/>
                <c:pt idx="0">
                  <c:v>Friction Car Platform Cover</c:v>
                </c:pt>
                <c:pt idx="1">
                  <c:v>Friction Cars OPP Bag 23cm</c:v>
                </c:pt>
                <c:pt idx="2">
                  <c:v>Free Wheel Motor OPP Bag 21cm</c:v>
                </c:pt>
                <c:pt idx="3">
                  <c:v>Friction Cars OPP Bag 22cm</c:v>
                </c:pt>
                <c:pt idx="4">
                  <c:v>Pull Line Friction Car OPP Bag</c:v>
                </c:pt>
                <c:pt idx="5">
                  <c:v>Friction Car OPP Bag</c:v>
                </c:pt>
                <c:pt idx="6">
                  <c:v>Free Wheel Ride on Digger Handle</c:v>
                </c:pt>
                <c:pt idx="7">
                  <c:v>Friction Car with Music and Light</c:v>
                </c:pt>
                <c:pt idx="8">
                  <c:v>Pull Line Function Car OPP Bag</c:v>
                </c:pt>
              </c:strCache>
            </c:strRef>
          </c:cat>
          <c:val>
            <c:numRef>
              <c:f>'[1]🔍 Detalle x Producto'!$C$201:$C$209</c:f>
              <c:numCache>
                <c:formatCode>General</c:formatCode>
                <c:ptCount val="9"/>
                <c:pt idx="0">
                  <c:v>3211.9666887620201</c:v>
                </c:pt>
                <c:pt idx="1">
                  <c:v>10830.433132354599</c:v>
                </c:pt>
                <c:pt idx="2">
                  <c:v>6370.8430190321096</c:v>
                </c:pt>
                <c:pt idx="3">
                  <c:v>19224.018809929399</c:v>
                </c:pt>
                <c:pt idx="4">
                  <c:v>12423.143887112599</c:v>
                </c:pt>
                <c:pt idx="5">
                  <c:v>3464.14589159871</c:v>
                </c:pt>
                <c:pt idx="6">
                  <c:v>7578.6486747236204</c:v>
                </c:pt>
                <c:pt idx="7">
                  <c:v>8069.7344907740098</c:v>
                </c:pt>
                <c:pt idx="8">
                  <c:v>7432.6501888707999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4-414C-B624-4B0D857E7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497738"/>
        <c:axId val="9890003"/>
      </c:barChart>
      <c:catAx>
        <c:axId val="464977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9890003"/>
        <c:crosses val="autoZero"/>
        <c:auto val="1"/>
        <c:lblAlgn val="ctr"/>
        <c:lblOffset val="100"/>
        <c:noMultiLvlLbl val="0"/>
      </c:catAx>
      <c:valAx>
        <c:axId val="98900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64977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'[1]🔍 Detalle x Producto'!$D$200</c:f>
              <c:strCache>
                <c:ptCount val="1"/>
                <c:pt idx="0">
                  <c:v>C/M Unit S/.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'[1]🔍 Detalle x Producto'!$B$201:$B$209</c:f>
              <c:strCache>
                <c:ptCount val="9"/>
                <c:pt idx="0">
                  <c:v>Friction Car Platform Cover</c:v>
                </c:pt>
                <c:pt idx="1">
                  <c:v>Friction Cars OPP Bag 23cm</c:v>
                </c:pt>
                <c:pt idx="2">
                  <c:v>Free Wheel Motor OPP Bag 21cm</c:v>
                </c:pt>
                <c:pt idx="3">
                  <c:v>Friction Cars OPP Bag 22cm</c:v>
                </c:pt>
                <c:pt idx="4">
                  <c:v>Pull Line Friction Car OPP Bag</c:v>
                </c:pt>
                <c:pt idx="5">
                  <c:v>Friction Car OPP Bag</c:v>
                </c:pt>
                <c:pt idx="6">
                  <c:v>Free Wheel Ride on Digger Handle</c:v>
                </c:pt>
                <c:pt idx="7">
                  <c:v>Friction Car with Music and Light</c:v>
                </c:pt>
                <c:pt idx="8">
                  <c:v>Pull Line Function Car OPP Bag</c:v>
                </c:pt>
              </c:strCache>
            </c:strRef>
          </c:cat>
          <c:val>
            <c:numRef>
              <c:f>'[1]🔍 Detalle x Producto'!$D$201:$D$209</c:f>
              <c:numCache>
                <c:formatCode>General</c:formatCode>
                <c:ptCount val="9"/>
                <c:pt idx="0">
                  <c:v>10.0373959023813</c:v>
                </c:pt>
                <c:pt idx="1">
                  <c:v>5.6408505897680197</c:v>
                </c:pt>
                <c:pt idx="2">
                  <c:v>3.31814740574589</c:v>
                </c:pt>
                <c:pt idx="3">
                  <c:v>2.8204252948840098</c:v>
                </c:pt>
                <c:pt idx="4">
                  <c:v>2.15679581373483</c:v>
                </c:pt>
                <c:pt idx="5">
                  <c:v>2.40565686916577</c:v>
                </c:pt>
                <c:pt idx="6">
                  <c:v>47.366554217022603</c:v>
                </c:pt>
                <c:pt idx="7">
                  <c:v>6.3044800709172</c:v>
                </c:pt>
                <c:pt idx="8">
                  <c:v>2.3227031840221302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0-4E25-A82E-302DB662A595}"/>
            </c:ext>
          </c:extLst>
        </c:ser>
        <c:ser>
          <c:idx val="1"/>
          <c:order val="1"/>
          <c:tx>
            <c:strRef>
              <c:f>'[1]🔍 Detalle x Producto'!$E$200</c:f>
              <c:strCache>
                <c:ptCount val="1"/>
                <c:pt idx="0">
                  <c:v>PV Unit S/.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'[1]🔍 Detalle x Producto'!$B$201:$B$209</c:f>
              <c:strCache>
                <c:ptCount val="9"/>
                <c:pt idx="0">
                  <c:v>Friction Car Platform Cover</c:v>
                </c:pt>
                <c:pt idx="1">
                  <c:v>Friction Cars OPP Bag 23cm</c:v>
                </c:pt>
                <c:pt idx="2">
                  <c:v>Free Wheel Motor OPP Bag 21cm</c:v>
                </c:pt>
                <c:pt idx="3">
                  <c:v>Friction Cars OPP Bag 22cm</c:v>
                </c:pt>
                <c:pt idx="4">
                  <c:v>Pull Line Friction Car OPP Bag</c:v>
                </c:pt>
                <c:pt idx="5">
                  <c:v>Friction Car OPP Bag</c:v>
                </c:pt>
                <c:pt idx="6">
                  <c:v>Free Wheel Ride on Digger Handle</c:v>
                </c:pt>
                <c:pt idx="7">
                  <c:v>Friction Car with Music and Light</c:v>
                </c:pt>
                <c:pt idx="8">
                  <c:v>Pull Line Function Car OPP Bag</c:v>
                </c:pt>
              </c:strCache>
            </c:strRef>
          </c:cat>
          <c:val>
            <c:numRef>
              <c:f>'[1]🔍 Detalle x Producto'!$E$201:$E$209</c:f>
              <c:numCache>
                <c:formatCode>General</c:formatCode>
                <c:ptCount val="9"/>
                <c:pt idx="0">
                  <c:v>19.740211941349902</c:v>
                </c:pt>
                <c:pt idx="1">
                  <c:v>11.0936728265438</c:v>
                </c:pt>
                <c:pt idx="2">
                  <c:v>6.5256898979669202</c:v>
                </c:pt>
                <c:pt idx="3">
                  <c:v>5.5468364132718797</c:v>
                </c:pt>
                <c:pt idx="4">
                  <c:v>4.2416984336784997</c:v>
                </c:pt>
                <c:pt idx="5">
                  <c:v>4.73112517602602</c:v>
                </c:pt>
                <c:pt idx="6">
                  <c:v>93.154223293477799</c:v>
                </c:pt>
                <c:pt idx="7">
                  <c:v>12.398810806137201</c:v>
                </c:pt>
                <c:pt idx="8">
                  <c:v>4.5679829285768498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E0-4E25-A82E-302DB662A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383836"/>
        <c:axId val="61716809"/>
      </c:barChart>
      <c:catAx>
        <c:axId val="943838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1716809"/>
        <c:crosses val="autoZero"/>
        <c:auto val="1"/>
        <c:lblAlgn val="ctr"/>
        <c:lblOffset val="100"/>
        <c:noMultiLvlLbl val="0"/>
      </c:catAx>
      <c:valAx>
        <c:axId val="617168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943838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2400" b="1"/>
              <a:t>PUNTO DE EQUILIBRIO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A417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'Detallado por producto'!$A$3:$A$89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'Detallado por producto'!$AS$3:$AS$89</c:f>
              <c:numCache>
                <c:formatCode>#,##0</c:formatCode>
                <c:ptCount val="9"/>
                <c:pt idx="0">
                  <c:v>66</c:v>
                </c:pt>
                <c:pt idx="1">
                  <c:v>394</c:v>
                </c:pt>
                <c:pt idx="2">
                  <c:v>394</c:v>
                </c:pt>
                <c:pt idx="3">
                  <c:v>1398</c:v>
                </c:pt>
                <c:pt idx="4">
                  <c:v>1181</c:v>
                </c:pt>
                <c:pt idx="5">
                  <c:v>296</c:v>
                </c:pt>
                <c:pt idx="6">
                  <c:v>33</c:v>
                </c:pt>
                <c:pt idx="7">
                  <c:v>263</c:v>
                </c:pt>
                <c:pt idx="8">
                  <c:v>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6-4E5C-9066-B2E9067ACA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83415520"/>
        <c:axId val="1983403040"/>
      </c:barChart>
      <c:catAx>
        <c:axId val="1983415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83403040"/>
        <c:crosses val="autoZero"/>
        <c:auto val="1"/>
        <c:lblAlgn val="ctr"/>
        <c:lblOffset val="100"/>
        <c:noMultiLvlLbl val="0"/>
      </c:catAx>
      <c:valAx>
        <c:axId val="198340304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8341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2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GANANCIA TOTAL. X PRODUCTO)</a:t>
            </a:r>
          </a:p>
          <a:p>
            <a:pPr>
              <a:defRPr sz="2400"/>
            </a:pPr>
            <a:r>
              <a:rPr lang="es-PE" sz="2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 (S/.)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7"/>
              <c:layout>
                <c:manualLayout>
                  <c:x val="-5.4700854700854701E-3"/>
                  <c:y val="-6.174444017882281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0A-4F13-9337-64CE5BADA9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'Detallado por producto'!$A$3:$A$89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'Detallado por producto'!$AT$3:$AT$89</c:f>
              <c:numCache>
                <c:formatCode>"S/"\ #,##0.00</c:formatCode>
                <c:ptCount val="9"/>
                <c:pt idx="0">
                  <c:v>1883.7356820208033</c:v>
                </c:pt>
                <c:pt idx="1">
                  <c:v>6351.7699030122949</c:v>
                </c:pt>
                <c:pt idx="2">
                  <c:v>3736.3352370660555</c:v>
                </c:pt>
                <c:pt idx="3">
                  <c:v>11274.391577846824</c:v>
                </c:pt>
                <c:pt idx="4">
                  <c:v>7285.8537122788093</c:v>
                </c:pt>
                <c:pt idx="5">
                  <c:v>2031.6322851546674</c:v>
                </c:pt>
                <c:pt idx="6">
                  <c:v>4444.6821257598285</c:v>
                </c:pt>
                <c:pt idx="7">
                  <c:v>4732.6913002836709</c:v>
                </c:pt>
                <c:pt idx="8">
                  <c:v>4359.057776577064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A-4F13-9337-64CE5BADA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021391"/>
        <c:axId val="1077014191"/>
      </c:barChart>
      <c:catAx>
        <c:axId val="107702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77014191"/>
        <c:crosses val="autoZero"/>
        <c:auto val="1"/>
        <c:lblAlgn val="ctr"/>
        <c:lblOffset val="100"/>
        <c:noMultiLvlLbl val="0"/>
      </c:catAx>
      <c:valAx>
        <c:axId val="1077014191"/>
        <c:scaling>
          <c:orientation val="minMax"/>
        </c:scaling>
        <c:delete val="0"/>
        <c:axPos val="l"/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7702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2400" b="1"/>
              <a:t>GANANCIA UNIT. X PRODUCTO)</a:t>
            </a:r>
          </a:p>
          <a:p>
            <a:pPr>
              <a:defRPr sz="2400" b="1"/>
            </a:pPr>
            <a:r>
              <a:rPr lang="es-PE" sz="2400" b="1"/>
              <a:t> (S/.)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EA2B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'Detallado por producto'!$A$3:$A$89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'Detallado por producto'!$AR$3:$AR$89</c:f>
              <c:numCache>
                <c:formatCode>"S/"\ #,##0.00</c:formatCode>
                <c:ptCount val="9"/>
                <c:pt idx="0">
                  <c:v>3.92444933754334</c:v>
                </c:pt>
                <c:pt idx="1">
                  <c:v>2.2054756607681578</c:v>
                </c:pt>
                <c:pt idx="2">
                  <c:v>1.2973386239812692</c:v>
                </c:pt>
                <c:pt idx="3">
                  <c:v>1.1027378303840789</c:v>
                </c:pt>
                <c:pt idx="4">
                  <c:v>0.84327010558782511</c:v>
                </c:pt>
                <c:pt idx="5">
                  <c:v>0.94057050238642015</c:v>
                </c:pt>
                <c:pt idx="6">
                  <c:v>18.519508857332617</c:v>
                </c:pt>
                <c:pt idx="7">
                  <c:v>2.4649433855644118</c:v>
                </c:pt>
                <c:pt idx="8">
                  <c:v>0.9081370367868884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9-4D12-AC7B-3AE289F0A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3430400"/>
        <c:axId val="1983425600"/>
      </c:barChart>
      <c:catAx>
        <c:axId val="198343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83425600"/>
        <c:crosses val="autoZero"/>
        <c:auto val="1"/>
        <c:lblAlgn val="ctr"/>
        <c:lblOffset val="100"/>
        <c:noMultiLvlLbl val="0"/>
      </c:catAx>
      <c:valAx>
        <c:axId val="1983425600"/>
        <c:scaling>
          <c:orientation val="minMax"/>
        </c:scaling>
        <c:delete val="0"/>
        <c:axPos val="l"/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834304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600" b="1"/>
              <a:t>Costo incluido</a:t>
            </a:r>
            <a:r>
              <a:rPr lang="es-PE" sz="1600" b="1" baseline="0"/>
              <a:t> gastos de import. Versus Precio Final  (no se considera igv)</a:t>
            </a:r>
            <a:endParaRPr lang="es-PE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5485899093161995"/>
          <c:y val="0.17171296296296298"/>
          <c:w val="0.81548984220546572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9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('📊 KPI x Producto'!$H$52,'📊 KPI x Producto'!$H$59)</c:f>
              <c:numCache>
                <c:formatCode>"S/"\ #,##0.00</c:formatCode>
                <c:ptCount val="2"/>
                <c:pt idx="0">
                  <c:v>3.3082134911522361</c:v>
                </c:pt>
                <c:pt idx="1">
                  <c:v>5.5136891519203939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F-4358-837F-622455307E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2934144"/>
        <c:axId val="1992927424"/>
      </c:barChart>
      <c:catAx>
        <c:axId val="199293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92927424"/>
        <c:crosses val="autoZero"/>
        <c:auto val="1"/>
        <c:lblAlgn val="ctr"/>
        <c:lblOffset val="100"/>
        <c:noMultiLvlLbl val="0"/>
      </c:catAx>
      <c:valAx>
        <c:axId val="1992927424"/>
        <c:scaling>
          <c:orientation val="minMax"/>
        </c:scaling>
        <c:delete val="0"/>
        <c:axPos val="l"/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9293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&#128214; Instrucciones'!A1"/><Relationship Id="rId13" Type="http://schemas.openxmlformats.org/officeDocument/2006/relationships/hyperlink" Target="#'&#127974; Cr&#233;dito Fiscal'!A1"/><Relationship Id="rId3" Type="http://schemas.openxmlformats.org/officeDocument/2006/relationships/image" Target="../media/image2.svg"/><Relationship Id="rId7" Type="http://schemas.openxmlformats.org/officeDocument/2006/relationships/hyperlink" Target="#'&#129534; Factura Comercial'!A1"/><Relationship Id="rId12" Type="http://schemas.openxmlformats.org/officeDocument/2006/relationships/hyperlink" Target="#'&#128176; Precio de Venta'!A1"/><Relationship Id="rId2" Type="http://schemas.openxmlformats.org/officeDocument/2006/relationships/image" Target="../media/image1.png"/><Relationship Id="rId1" Type="http://schemas.openxmlformats.org/officeDocument/2006/relationships/hyperlink" Target="#'&#128203; Datos Generales'!A1"/><Relationship Id="rId6" Type="http://schemas.openxmlformats.org/officeDocument/2006/relationships/hyperlink" Target="#'&#129518; Costos x Producto'!A1"/><Relationship Id="rId11" Type="http://schemas.openxmlformats.org/officeDocument/2006/relationships/image" Target="../media/image4.svg"/><Relationship Id="rId5" Type="http://schemas.openxmlformats.org/officeDocument/2006/relationships/hyperlink" Target="#'&#129534; Tributos Aduana'!A1"/><Relationship Id="rId15" Type="http://schemas.openxmlformats.org/officeDocument/2006/relationships/hyperlink" Target="#'&#128202; KPI x Producto'!A1"/><Relationship Id="rId10" Type="http://schemas.openxmlformats.org/officeDocument/2006/relationships/image" Target="../media/image3.png"/><Relationship Id="rId4" Type="http://schemas.openxmlformats.org/officeDocument/2006/relationships/hyperlink" Target="#'&#128230; Gastos Importaci&#243;n'!A1"/><Relationship Id="rId9" Type="http://schemas.openxmlformats.org/officeDocument/2006/relationships/hyperlink" Target="CALCULADORA%20COSTOS%20DE%20IMPORTACION%20SALLY%20FINAL.xlsx" TargetMode="External"/><Relationship Id="rId14" Type="http://schemas.openxmlformats.org/officeDocument/2006/relationships/hyperlink" Target="#'&#128202; Dashboard General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&#127968; PORTADA'!A1"/><Relationship Id="rId13" Type="http://schemas.openxmlformats.org/officeDocument/2006/relationships/hyperlink" Target="#'&#128202; Dashboard General'!A1"/><Relationship Id="rId3" Type="http://schemas.openxmlformats.org/officeDocument/2006/relationships/image" Target="../media/image2.svg"/><Relationship Id="rId7" Type="http://schemas.openxmlformats.org/officeDocument/2006/relationships/hyperlink" Target="#'&#129534; Factura Comercial'!A1"/><Relationship Id="rId12" Type="http://schemas.openxmlformats.org/officeDocument/2006/relationships/hyperlink" Target="#'&#127974; Cr&#233;dito Fiscal'!A1"/><Relationship Id="rId2" Type="http://schemas.openxmlformats.org/officeDocument/2006/relationships/image" Target="../media/image1.png"/><Relationship Id="rId1" Type="http://schemas.openxmlformats.org/officeDocument/2006/relationships/hyperlink" Target="#'&#128203; Datos Generales'!A1"/><Relationship Id="rId6" Type="http://schemas.openxmlformats.org/officeDocument/2006/relationships/hyperlink" Target="#'&#129518; Costos x Producto'!A1"/><Relationship Id="rId11" Type="http://schemas.openxmlformats.org/officeDocument/2006/relationships/hyperlink" Target="#'&#128176; Precio de Venta'!A1"/><Relationship Id="rId5" Type="http://schemas.openxmlformats.org/officeDocument/2006/relationships/hyperlink" Target="#'&#129534; Tributos Aduana'!A1"/><Relationship Id="rId10" Type="http://schemas.openxmlformats.org/officeDocument/2006/relationships/image" Target="../media/image6.svg"/><Relationship Id="rId4" Type="http://schemas.openxmlformats.org/officeDocument/2006/relationships/hyperlink" Target="#'&#128230; Gastos Importaci&#243;n'!A1"/><Relationship Id="rId9" Type="http://schemas.openxmlformats.org/officeDocument/2006/relationships/image" Target="../media/image5.png"/><Relationship Id="rId14" Type="http://schemas.openxmlformats.org/officeDocument/2006/relationships/hyperlink" Target="#'&#128202; KPI x Producto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&#128214; Instrucciones'!A1"/><Relationship Id="rId13" Type="http://schemas.openxmlformats.org/officeDocument/2006/relationships/hyperlink" Target="#'&#128202; Dashboard General'!A1"/><Relationship Id="rId3" Type="http://schemas.openxmlformats.org/officeDocument/2006/relationships/hyperlink" Target="#'&#129518; Costos x Producto'!A1"/><Relationship Id="rId7" Type="http://schemas.openxmlformats.org/officeDocument/2006/relationships/image" Target="../media/image6.svg"/><Relationship Id="rId12" Type="http://schemas.openxmlformats.org/officeDocument/2006/relationships/hyperlink" Target="#'&#127974; Cr&#233;dito Fiscal'!A1"/><Relationship Id="rId2" Type="http://schemas.openxmlformats.org/officeDocument/2006/relationships/hyperlink" Target="#'&#129534; Tributos Aduana'!A1"/><Relationship Id="rId1" Type="http://schemas.openxmlformats.org/officeDocument/2006/relationships/hyperlink" Target="#'&#128230; Gastos Importaci&#243;n'!A1"/><Relationship Id="rId6" Type="http://schemas.openxmlformats.org/officeDocument/2006/relationships/image" Target="../media/image5.png"/><Relationship Id="rId11" Type="http://schemas.openxmlformats.org/officeDocument/2006/relationships/hyperlink" Target="#'&#128176; Precio de Venta'!A1"/><Relationship Id="rId5" Type="http://schemas.openxmlformats.org/officeDocument/2006/relationships/hyperlink" Target="#'&#127968; PORTADA'!A1"/><Relationship Id="rId10" Type="http://schemas.openxmlformats.org/officeDocument/2006/relationships/image" Target="../media/image4.svg"/><Relationship Id="rId4" Type="http://schemas.openxmlformats.org/officeDocument/2006/relationships/hyperlink" Target="#'&#129534; Factura Comercial'!A1"/><Relationship Id="rId9" Type="http://schemas.openxmlformats.org/officeDocument/2006/relationships/image" Target="../media/image3.png"/><Relationship Id="rId14" Type="http://schemas.openxmlformats.org/officeDocument/2006/relationships/hyperlink" Target="#'&#128202; KPI x Producto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hyperlink" Target="#'&#128214; Instrucciones'!A1"/><Relationship Id="rId18" Type="http://schemas.openxmlformats.org/officeDocument/2006/relationships/hyperlink" Target="#'&#128202; Dashboard General'!A1"/><Relationship Id="rId3" Type="http://schemas.openxmlformats.org/officeDocument/2006/relationships/hyperlink" Target="#'&#127968; PORTADA'!A1"/><Relationship Id="rId7" Type="http://schemas.openxmlformats.org/officeDocument/2006/relationships/hyperlink" Target="#'&#128203; Datos Generales'!A1"/><Relationship Id="rId12" Type="http://schemas.openxmlformats.org/officeDocument/2006/relationships/hyperlink" Target="#'&#129518; Costos x Producto'!A1"/><Relationship Id="rId17" Type="http://schemas.openxmlformats.org/officeDocument/2006/relationships/hyperlink" Target="#'&#127974; Cr&#233;dito Fiscal'!A1"/><Relationship Id="rId2" Type="http://schemas.openxmlformats.org/officeDocument/2006/relationships/chart" Target="../charts/chart2.xml"/><Relationship Id="rId16" Type="http://schemas.openxmlformats.org/officeDocument/2006/relationships/hyperlink" Target="#'&#128176; Precio de Venta'!A1"/><Relationship Id="rId1" Type="http://schemas.openxmlformats.org/officeDocument/2006/relationships/chart" Target="../charts/chart1.xml"/><Relationship Id="rId6" Type="http://schemas.openxmlformats.org/officeDocument/2006/relationships/image" Target="../media/image8.svg"/><Relationship Id="rId11" Type="http://schemas.openxmlformats.org/officeDocument/2006/relationships/hyperlink" Target="#'&#129534; Tributos Aduana'!A1"/><Relationship Id="rId5" Type="http://schemas.openxmlformats.org/officeDocument/2006/relationships/image" Target="../media/image7.png"/><Relationship Id="rId15" Type="http://schemas.openxmlformats.org/officeDocument/2006/relationships/image" Target="../media/image4.svg"/><Relationship Id="rId10" Type="http://schemas.openxmlformats.org/officeDocument/2006/relationships/hyperlink" Target="#'&#128230; Gastos Importaci&#243;n'!A1"/><Relationship Id="rId19" Type="http://schemas.openxmlformats.org/officeDocument/2006/relationships/hyperlink" Target="#'&#128202; KPI x Producto'!A1"/><Relationship Id="rId4" Type="http://schemas.openxmlformats.org/officeDocument/2006/relationships/hyperlink" Target="CALCULADORA%20COSTOS%20DE%20IMPORTACION%20SALLY%20FINAL.xlsx" TargetMode="External"/><Relationship Id="rId9" Type="http://schemas.openxmlformats.org/officeDocument/2006/relationships/image" Target="../media/image2.svg"/><Relationship Id="rId1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13" Type="http://schemas.openxmlformats.org/officeDocument/2006/relationships/hyperlink" Target="#'&#128214; Instrucciones'!A1"/><Relationship Id="rId18" Type="http://schemas.openxmlformats.org/officeDocument/2006/relationships/hyperlink" Target="#'&#128202; Dashboard General'!A1"/><Relationship Id="rId3" Type="http://schemas.openxmlformats.org/officeDocument/2006/relationships/hyperlink" Target="CALCULADORA%20COSTOS%20DE%20IMPORTACION%20SALLY%20FINAL.xlsx" TargetMode="External"/><Relationship Id="rId7" Type="http://schemas.openxmlformats.org/officeDocument/2006/relationships/image" Target="../media/image1.png"/><Relationship Id="rId12" Type="http://schemas.openxmlformats.org/officeDocument/2006/relationships/chart" Target="../charts/chart4.xml"/><Relationship Id="rId17" Type="http://schemas.openxmlformats.org/officeDocument/2006/relationships/hyperlink" Target="#'&#127974; Cr&#233;dito Fiscal'!A1"/><Relationship Id="rId2" Type="http://schemas.openxmlformats.org/officeDocument/2006/relationships/hyperlink" Target="#'&#127968; PORTADA'!A1"/><Relationship Id="rId16" Type="http://schemas.openxmlformats.org/officeDocument/2006/relationships/hyperlink" Target="#'&#128176; Precio de Venta'!A1"/><Relationship Id="rId1" Type="http://schemas.openxmlformats.org/officeDocument/2006/relationships/chart" Target="../charts/chart3.xml"/><Relationship Id="rId6" Type="http://schemas.openxmlformats.org/officeDocument/2006/relationships/hyperlink" Target="#'&#128203; Datos Generales'!A1"/><Relationship Id="rId11" Type="http://schemas.openxmlformats.org/officeDocument/2006/relationships/hyperlink" Target="#'&#129518; Costos x Producto'!A1"/><Relationship Id="rId5" Type="http://schemas.openxmlformats.org/officeDocument/2006/relationships/image" Target="../media/image9.svg"/><Relationship Id="rId15" Type="http://schemas.openxmlformats.org/officeDocument/2006/relationships/image" Target="../media/image4.svg"/><Relationship Id="rId10" Type="http://schemas.openxmlformats.org/officeDocument/2006/relationships/hyperlink" Target="#'&#129534; Tributos Aduana'!A1"/><Relationship Id="rId19" Type="http://schemas.openxmlformats.org/officeDocument/2006/relationships/hyperlink" Target="#'&#128202; KPI x Producto'!A1"/><Relationship Id="rId4" Type="http://schemas.openxmlformats.org/officeDocument/2006/relationships/image" Target="../media/image7.png"/><Relationship Id="rId9" Type="http://schemas.openxmlformats.org/officeDocument/2006/relationships/hyperlink" Target="#'&#129534; Factura Comercial'!A1"/><Relationship Id="rId14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image" Target="../media/image3.png"/><Relationship Id="rId18" Type="http://schemas.openxmlformats.org/officeDocument/2006/relationships/hyperlink" Target="#'&#128202; KPI x Producto'!A1"/><Relationship Id="rId3" Type="http://schemas.openxmlformats.org/officeDocument/2006/relationships/hyperlink" Target="#'&#127968; PORTADA'!A1"/><Relationship Id="rId7" Type="http://schemas.openxmlformats.org/officeDocument/2006/relationships/hyperlink" Target="#'&#128203; Datos Generales'!A1"/><Relationship Id="rId12" Type="http://schemas.openxmlformats.org/officeDocument/2006/relationships/hyperlink" Target="#'&#128214; Instrucciones'!A1"/><Relationship Id="rId17" Type="http://schemas.openxmlformats.org/officeDocument/2006/relationships/hyperlink" Target="#'&#128202; Dashboard General'!A1"/><Relationship Id="rId2" Type="http://schemas.openxmlformats.org/officeDocument/2006/relationships/chart" Target="../charts/chart6.xml"/><Relationship Id="rId16" Type="http://schemas.openxmlformats.org/officeDocument/2006/relationships/hyperlink" Target="#'&#127974; Cr&#233;dito Fiscal'!A1"/><Relationship Id="rId1" Type="http://schemas.openxmlformats.org/officeDocument/2006/relationships/chart" Target="../charts/chart5.xml"/><Relationship Id="rId6" Type="http://schemas.openxmlformats.org/officeDocument/2006/relationships/image" Target="../media/image9.svg"/><Relationship Id="rId11" Type="http://schemas.openxmlformats.org/officeDocument/2006/relationships/hyperlink" Target="#'&#128230; Gastos Importaci&#243;n'!A1"/><Relationship Id="rId5" Type="http://schemas.openxmlformats.org/officeDocument/2006/relationships/image" Target="../media/image7.png"/><Relationship Id="rId15" Type="http://schemas.openxmlformats.org/officeDocument/2006/relationships/hyperlink" Target="#'&#128176; Precio de Venta'!A1"/><Relationship Id="rId10" Type="http://schemas.openxmlformats.org/officeDocument/2006/relationships/hyperlink" Target="#'&#129534; Factura Comercial'!A1"/><Relationship Id="rId19" Type="http://schemas.openxmlformats.org/officeDocument/2006/relationships/hyperlink" Target="#'&#129518; Costos x Producto'!A1"/><Relationship Id="rId4" Type="http://schemas.openxmlformats.org/officeDocument/2006/relationships/hyperlink" Target="CALCULADORA%20COSTOS%20DE%20IMPORTACION%20SALLY%20FINAL.xlsx" TargetMode="External"/><Relationship Id="rId9" Type="http://schemas.openxmlformats.org/officeDocument/2006/relationships/image" Target="../media/image2.svg"/><Relationship Id="rId14" Type="http://schemas.openxmlformats.org/officeDocument/2006/relationships/image" Target="../media/image4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&#129534; Factura Comercial'!A1"/><Relationship Id="rId13" Type="http://schemas.openxmlformats.org/officeDocument/2006/relationships/image" Target="../media/image4.svg"/><Relationship Id="rId18" Type="http://schemas.openxmlformats.org/officeDocument/2006/relationships/hyperlink" Target="#'&#128202; Dashboard General'!A1"/><Relationship Id="rId3" Type="http://schemas.openxmlformats.org/officeDocument/2006/relationships/image" Target="../media/image7.png"/><Relationship Id="rId7" Type="http://schemas.openxmlformats.org/officeDocument/2006/relationships/image" Target="../media/image2.svg"/><Relationship Id="rId12" Type="http://schemas.openxmlformats.org/officeDocument/2006/relationships/image" Target="../media/image3.png"/><Relationship Id="rId17" Type="http://schemas.openxmlformats.org/officeDocument/2006/relationships/hyperlink" Target="#'&#127974; Cr&#233;dito Fiscal'!A1"/><Relationship Id="rId2" Type="http://schemas.openxmlformats.org/officeDocument/2006/relationships/hyperlink" Target="CALCULADORA%20COSTOS%20DE%20IMPORTACION%20SALLY%20FINAL.xlsx" TargetMode="External"/><Relationship Id="rId16" Type="http://schemas.openxmlformats.org/officeDocument/2006/relationships/hyperlink" Target="#'&#128176; Precio de Venta'!A1"/><Relationship Id="rId1" Type="http://schemas.openxmlformats.org/officeDocument/2006/relationships/hyperlink" Target="#'&#127968; PORTADA'!A1"/><Relationship Id="rId6" Type="http://schemas.openxmlformats.org/officeDocument/2006/relationships/image" Target="../media/image1.png"/><Relationship Id="rId11" Type="http://schemas.openxmlformats.org/officeDocument/2006/relationships/hyperlink" Target="#'&#128214; Instrucciones'!A1"/><Relationship Id="rId5" Type="http://schemas.openxmlformats.org/officeDocument/2006/relationships/hyperlink" Target="#'&#128203; Datos Generales'!A1"/><Relationship Id="rId15" Type="http://schemas.openxmlformats.org/officeDocument/2006/relationships/chart" Target="../charts/chart8.xml"/><Relationship Id="rId10" Type="http://schemas.openxmlformats.org/officeDocument/2006/relationships/hyperlink" Target="#'&#129518; Costos x Producto'!A1"/><Relationship Id="rId19" Type="http://schemas.openxmlformats.org/officeDocument/2006/relationships/hyperlink" Target="#'&#128202; KPI x Producto'!A1"/><Relationship Id="rId4" Type="http://schemas.openxmlformats.org/officeDocument/2006/relationships/image" Target="../media/image9.svg"/><Relationship Id="rId9" Type="http://schemas.openxmlformats.org/officeDocument/2006/relationships/hyperlink" Target="#'&#128230; Gastos Importaci&#243;n'!A1"/><Relationship Id="rId14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hyperlink" Target="#'&#128214; Instrucciones'!A1"/><Relationship Id="rId18" Type="http://schemas.openxmlformats.org/officeDocument/2006/relationships/hyperlink" Target="#'&#128202; KPI x Producto'!A1"/><Relationship Id="rId3" Type="http://schemas.openxmlformats.org/officeDocument/2006/relationships/hyperlink" Target="#'&#127968; PORTADA'!A1"/><Relationship Id="rId7" Type="http://schemas.openxmlformats.org/officeDocument/2006/relationships/hyperlink" Target="#'&#128203; Datos Generales'!A1"/><Relationship Id="rId12" Type="http://schemas.openxmlformats.org/officeDocument/2006/relationships/hyperlink" Target="#'&#129518; Costos x Producto'!A1"/><Relationship Id="rId17" Type="http://schemas.openxmlformats.org/officeDocument/2006/relationships/hyperlink" Target="#'&#128202; Dashboard General'!A1"/><Relationship Id="rId2" Type="http://schemas.openxmlformats.org/officeDocument/2006/relationships/chart" Target="../charts/chart10.xml"/><Relationship Id="rId16" Type="http://schemas.openxmlformats.org/officeDocument/2006/relationships/hyperlink" Target="#'&#127974; Cr&#233;dito Fiscal'!A1"/><Relationship Id="rId1" Type="http://schemas.openxmlformats.org/officeDocument/2006/relationships/chart" Target="../charts/chart9.xml"/><Relationship Id="rId6" Type="http://schemas.openxmlformats.org/officeDocument/2006/relationships/image" Target="../media/image9.svg"/><Relationship Id="rId11" Type="http://schemas.openxmlformats.org/officeDocument/2006/relationships/hyperlink" Target="#'&#128230; Gastos Importaci&#243;n'!A1"/><Relationship Id="rId5" Type="http://schemas.openxmlformats.org/officeDocument/2006/relationships/image" Target="../media/image7.png"/><Relationship Id="rId15" Type="http://schemas.openxmlformats.org/officeDocument/2006/relationships/image" Target="../media/image4.svg"/><Relationship Id="rId10" Type="http://schemas.openxmlformats.org/officeDocument/2006/relationships/hyperlink" Target="#'&#129534; Factura Comercial'!A1"/><Relationship Id="rId4" Type="http://schemas.openxmlformats.org/officeDocument/2006/relationships/hyperlink" Target="CALCULADORA%20COSTOS%20DE%20IMPORTACION%20SALLY%20FINAL.xlsx" TargetMode="External"/><Relationship Id="rId9" Type="http://schemas.openxmlformats.org/officeDocument/2006/relationships/image" Target="../media/image2.svg"/><Relationship Id="rId14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CALCULADORA%20COSTOS%20DE%20IMPORTACION%20SALLY%20FINAL.xlsx" TargetMode="External"/><Relationship Id="rId13" Type="http://schemas.openxmlformats.org/officeDocument/2006/relationships/image" Target="../media/image4.svg"/><Relationship Id="rId18" Type="http://schemas.openxmlformats.org/officeDocument/2006/relationships/hyperlink" Target="#'&#128230; Gastos Importaci&#243;n'!A1"/><Relationship Id="rId3" Type="http://schemas.openxmlformats.org/officeDocument/2006/relationships/hyperlink" Target="#'&#129518; Costos x Producto'!A1"/><Relationship Id="rId7" Type="http://schemas.openxmlformats.org/officeDocument/2006/relationships/hyperlink" Target="#'&#127968; PORTADA'!A1"/><Relationship Id="rId12" Type="http://schemas.openxmlformats.org/officeDocument/2006/relationships/image" Target="../media/image3.png"/><Relationship Id="rId17" Type="http://schemas.openxmlformats.org/officeDocument/2006/relationships/hyperlink" Target="#'&#129534; Factura Comercial'!A1"/><Relationship Id="rId2" Type="http://schemas.openxmlformats.org/officeDocument/2006/relationships/chart" Target="../charts/chart12.xml"/><Relationship Id="rId16" Type="http://schemas.openxmlformats.org/officeDocument/2006/relationships/image" Target="../media/image2.svg"/><Relationship Id="rId1" Type="http://schemas.openxmlformats.org/officeDocument/2006/relationships/chart" Target="../charts/chart11.xml"/><Relationship Id="rId6" Type="http://schemas.openxmlformats.org/officeDocument/2006/relationships/hyperlink" Target="#'&#128202; KPI x Producto'!A1"/><Relationship Id="rId11" Type="http://schemas.openxmlformats.org/officeDocument/2006/relationships/hyperlink" Target="#'&#128214; Instrucciones'!A1"/><Relationship Id="rId5" Type="http://schemas.openxmlformats.org/officeDocument/2006/relationships/hyperlink" Target="#'&#128202; Dashboard General'!A1"/><Relationship Id="rId15" Type="http://schemas.openxmlformats.org/officeDocument/2006/relationships/image" Target="../media/image1.png"/><Relationship Id="rId10" Type="http://schemas.openxmlformats.org/officeDocument/2006/relationships/image" Target="../media/image9.svg"/><Relationship Id="rId4" Type="http://schemas.openxmlformats.org/officeDocument/2006/relationships/hyperlink" Target="#'&#128176; Precio de Venta'!A1"/><Relationship Id="rId9" Type="http://schemas.openxmlformats.org/officeDocument/2006/relationships/image" Target="../media/image7.png"/><Relationship Id="rId14" Type="http://schemas.openxmlformats.org/officeDocument/2006/relationships/hyperlink" Target="#'&#128203; Datos Generales'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13" Type="http://schemas.openxmlformats.org/officeDocument/2006/relationships/image" Target="../media/image6.svg"/><Relationship Id="rId18" Type="http://schemas.openxmlformats.org/officeDocument/2006/relationships/hyperlink" Target="#'&#128202; KPI x Producto'!A1"/><Relationship Id="rId3" Type="http://schemas.openxmlformats.org/officeDocument/2006/relationships/chart" Target="../charts/chart23.xml"/><Relationship Id="rId21" Type="http://schemas.openxmlformats.org/officeDocument/2006/relationships/hyperlink" Target="#'&#128203; Datos Generales'!A1"/><Relationship Id="rId7" Type="http://schemas.openxmlformats.org/officeDocument/2006/relationships/chart" Target="../charts/chart27.xml"/><Relationship Id="rId12" Type="http://schemas.openxmlformats.org/officeDocument/2006/relationships/image" Target="../media/image5.png"/><Relationship Id="rId17" Type="http://schemas.openxmlformats.org/officeDocument/2006/relationships/hyperlink" Target="#'&#129518; Costos x Producto'!A1"/><Relationship Id="rId2" Type="http://schemas.openxmlformats.org/officeDocument/2006/relationships/chart" Target="../charts/chart22.xml"/><Relationship Id="rId16" Type="http://schemas.openxmlformats.org/officeDocument/2006/relationships/hyperlink" Target="#'&#129534; Tributos Aduana'!A1"/><Relationship Id="rId20" Type="http://schemas.openxmlformats.org/officeDocument/2006/relationships/hyperlink" Target="#'&#129534; Factura Comercial'!A1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hyperlink" Target="#'&#127968; PORTADA'!A1"/><Relationship Id="rId5" Type="http://schemas.openxmlformats.org/officeDocument/2006/relationships/chart" Target="../charts/chart25.xml"/><Relationship Id="rId15" Type="http://schemas.openxmlformats.org/officeDocument/2006/relationships/hyperlink" Target="#'&#128176; Precio de Venta'!A1"/><Relationship Id="rId10" Type="http://schemas.openxmlformats.org/officeDocument/2006/relationships/image" Target="../media/image11.svg"/><Relationship Id="rId19" Type="http://schemas.openxmlformats.org/officeDocument/2006/relationships/hyperlink" Target="#'&#128230; Gastos Importaci&#243;n'!A1"/><Relationship Id="rId4" Type="http://schemas.openxmlformats.org/officeDocument/2006/relationships/chart" Target="../charts/chart24.xml"/><Relationship Id="rId9" Type="http://schemas.openxmlformats.org/officeDocument/2006/relationships/image" Target="../media/image10.png"/><Relationship Id="rId14" Type="http://schemas.openxmlformats.org/officeDocument/2006/relationships/hyperlink" Target="#'&#127974; Cr&#233;dito Fiscal'!A1"/><Relationship Id="rId22" Type="http://schemas.openxmlformats.org/officeDocument/2006/relationships/hyperlink" Target="#'&#128214; Instrucciones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'&#129534; Tributos Aduana'!A1"/><Relationship Id="rId13" Type="http://schemas.openxmlformats.org/officeDocument/2006/relationships/hyperlink" Target="#'&#128203; Datos Generales'!A1"/><Relationship Id="rId18" Type="http://schemas.openxmlformats.org/officeDocument/2006/relationships/chart" Target="../charts/chart34.xml"/><Relationship Id="rId3" Type="http://schemas.openxmlformats.org/officeDocument/2006/relationships/hyperlink" Target="#'&#127968; PORTADA'!A1"/><Relationship Id="rId7" Type="http://schemas.openxmlformats.org/officeDocument/2006/relationships/hyperlink" Target="#'&#128176; Precio de Venta'!A1"/><Relationship Id="rId12" Type="http://schemas.openxmlformats.org/officeDocument/2006/relationships/hyperlink" Target="#'&#129534; Factura Comercial'!A1"/><Relationship Id="rId17" Type="http://schemas.openxmlformats.org/officeDocument/2006/relationships/chart" Target="../charts/chart33.xml"/><Relationship Id="rId2" Type="http://schemas.openxmlformats.org/officeDocument/2006/relationships/image" Target="../media/image11.svg"/><Relationship Id="rId16" Type="http://schemas.openxmlformats.org/officeDocument/2006/relationships/chart" Target="../charts/chart32.xml"/><Relationship Id="rId1" Type="http://schemas.openxmlformats.org/officeDocument/2006/relationships/image" Target="../media/image10.png"/><Relationship Id="rId6" Type="http://schemas.openxmlformats.org/officeDocument/2006/relationships/hyperlink" Target="#'&#127974; Cr&#233;dito Fiscal'!A1"/><Relationship Id="rId11" Type="http://schemas.openxmlformats.org/officeDocument/2006/relationships/hyperlink" Target="#'&#128230; Gastos Importaci&#243;n'!A1"/><Relationship Id="rId5" Type="http://schemas.openxmlformats.org/officeDocument/2006/relationships/image" Target="../media/image6.svg"/><Relationship Id="rId15" Type="http://schemas.openxmlformats.org/officeDocument/2006/relationships/chart" Target="../charts/chart31.xml"/><Relationship Id="rId10" Type="http://schemas.openxmlformats.org/officeDocument/2006/relationships/hyperlink" Target="#'&#128202; Dashboard General'!A1"/><Relationship Id="rId4" Type="http://schemas.openxmlformats.org/officeDocument/2006/relationships/image" Target="../media/image5.png"/><Relationship Id="rId9" Type="http://schemas.openxmlformats.org/officeDocument/2006/relationships/hyperlink" Target="#'&#129518; Costos x Producto'!A1"/><Relationship Id="rId14" Type="http://schemas.openxmlformats.org/officeDocument/2006/relationships/hyperlink" Target="#'&#128214; Instruccione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</xdr:row>
      <xdr:rowOff>19050</xdr:rowOff>
    </xdr:from>
    <xdr:to>
      <xdr:col>3</xdr:col>
      <xdr:colOff>246529</xdr:colOff>
      <xdr:row>26</xdr:row>
      <xdr:rowOff>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8B101F8B-03D3-40B3-BFA2-755C06E7E13A}"/>
            </a:ext>
          </a:extLst>
        </xdr:cNvPr>
        <xdr:cNvSpPr/>
      </xdr:nvSpPr>
      <xdr:spPr>
        <a:xfrm>
          <a:off x="229721" y="119903"/>
          <a:ext cx="868455" cy="8161244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189939</xdr:colOff>
      <xdr:row>2</xdr:row>
      <xdr:rowOff>275593</xdr:rowOff>
    </xdr:from>
    <xdr:to>
      <xdr:col>3</xdr:col>
      <xdr:colOff>115980</xdr:colOff>
      <xdr:row>5</xdr:row>
      <xdr:rowOff>262145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9DA97B22-1ADF-44CD-ACBE-0FF7CD549FA5}"/>
            </a:ext>
          </a:extLst>
        </xdr:cNvPr>
        <xdr:cNvGrpSpPr/>
      </xdr:nvGrpSpPr>
      <xdr:grpSpPr>
        <a:xfrm>
          <a:off x="322461" y="1070723"/>
          <a:ext cx="654910" cy="674009"/>
          <a:chOff x="430141" y="1986147"/>
          <a:chExt cx="650642" cy="682857"/>
        </a:xfrm>
      </xdr:grpSpPr>
      <xdr:sp macro="" textlink="">
        <xdr:nvSpPr>
          <xdr:cNvPr id="7" name="Rectángulo: esquinas redondeadas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19CC38C-1EC8-A0B3-4720-1CBF2F0FBCCA}"/>
              </a:ext>
            </a:extLst>
          </xdr:cNvPr>
          <xdr:cNvSpPr/>
        </xdr:nvSpPr>
        <xdr:spPr>
          <a:xfrm>
            <a:off x="430141" y="1986147"/>
            <a:ext cx="650642" cy="682857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8" name="Gráfico 7" descr="Búsqueda de carpetas contorno">
            <a:extLst>
              <a:ext uri="{FF2B5EF4-FFF2-40B4-BE49-F238E27FC236}">
                <a16:creationId xmlns:a16="http://schemas.microsoft.com/office/drawing/2014/main" id="{24713B7F-685C-0C88-D5F5-07A8B8EEC1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185456</xdr:colOff>
      <xdr:row>8</xdr:row>
      <xdr:rowOff>301366</xdr:rowOff>
    </xdr:from>
    <xdr:to>
      <xdr:col>3</xdr:col>
      <xdr:colOff>117638</xdr:colOff>
      <xdr:row>10</xdr:row>
      <xdr:rowOff>326018</xdr:rowOff>
    </xdr:to>
    <xdr:sp macro="" textlink="">
      <xdr:nvSpPr>
        <xdr:cNvPr id="9" name="Rectángulo: esquinas redondeada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5806678-B07F-4EA6-8677-C4B2B486228D}"/>
            </a:ext>
          </a:extLst>
        </xdr:cNvPr>
        <xdr:cNvSpPr/>
      </xdr:nvSpPr>
      <xdr:spPr>
        <a:xfrm>
          <a:off x="328331" y="2587366"/>
          <a:ext cx="646557" cy="691402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/>
            <a:t>GASTOS DE IMPORT</a:t>
          </a:r>
        </a:p>
      </xdr:txBody>
    </xdr:sp>
    <xdr:clientData/>
  </xdr:twoCellAnchor>
  <xdr:twoCellAnchor>
    <xdr:from>
      <xdr:col>1</xdr:col>
      <xdr:colOff>180975</xdr:colOff>
      <xdr:row>11</xdr:row>
      <xdr:rowOff>109745</xdr:rowOff>
    </xdr:from>
    <xdr:to>
      <xdr:col>3</xdr:col>
      <xdr:colOff>124208</xdr:colOff>
      <xdr:row>13</xdr:row>
      <xdr:rowOff>134397</xdr:rowOff>
    </xdr:to>
    <xdr:sp macro="" textlink="">
      <xdr:nvSpPr>
        <xdr:cNvPr id="10" name="Rectángulo: esquinas redondeada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612946D-5A7B-4021-8ECB-67BD3EA12A8C}"/>
            </a:ext>
          </a:extLst>
        </xdr:cNvPr>
        <xdr:cNvSpPr/>
      </xdr:nvSpPr>
      <xdr:spPr>
        <a:xfrm>
          <a:off x="323850" y="3395870"/>
          <a:ext cx="657608" cy="691402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>
              <a:solidFill>
                <a:sysClr val="windowText" lastClr="000000"/>
              </a:solidFill>
            </a:rPr>
            <a:t>TRIBUTOS DE ADUANA</a:t>
          </a:r>
        </a:p>
      </xdr:txBody>
    </xdr:sp>
    <xdr:clientData/>
  </xdr:twoCellAnchor>
  <xdr:twoCellAnchor>
    <xdr:from>
      <xdr:col>1</xdr:col>
      <xdr:colOff>187698</xdr:colOff>
      <xdr:row>13</xdr:row>
      <xdr:rowOff>241974</xdr:rowOff>
    </xdr:from>
    <xdr:to>
      <xdr:col>3</xdr:col>
      <xdr:colOff>124208</xdr:colOff>
      <xdr:row>15</xdr:row>
      <xdr:rowOff>266626</xdr:rowOff>
    </xdr:to>
    <xdr:sp macro="" textlink="">
      <xdr:nvSpPr>
        <xdr:cNvPr id="11" name="Rectángulo: esquinas redondeada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A8FC31F-4178-493B-A496-A342BCB3479D}"/>
            </a:ext>
          </a:extLst>
        </xdr:cNvPr>
        <xdr:cNvSpPr/>
      </xdr:nvSpPr>
      <xdr:spPr>
        <a:xfrm>
          <a:off x="330573" y="4194849"/>
          <a:ext cx="650885" cy="691402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600" b="1">
              <a:solidFill>
                <a:sysClr val="windowText" lastClr="000000"/>
              </a:solidFill>
            </a:rPr>
            <a:t>COSTOS 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POR PRODUCTO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185456</xdr:colOff>
      <xdr:row>6</xdr:row>
      <xdr:rowOff>1329</xdr:rowOff>
    </xdr:from>
    <xdr:to>
      <xdr:col>3</xdr:col>
      <xdr:colOff>117638</xdr:colOff>
      <xdr:row>8</xdr:row>
      <xdr:rowOff>202193</xdr:rowOff>
    </xdr:to>
    <xdr:sp macro="" textlink="">
      <xdr:nvSpPr>
        <xdr:cNvPr id="12" name="Rectángulo: esquinas redondeada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6D03CBF-5497-4693-BD21-480E3DAE50E1}"/>
            </a:ext>
          </a:extLst>
        </xdr:cNvPr>
        <xdr:cNvSpPr/>
      </xdr:nvSpPr>
      <xdr:spPr>
        <a:xfrm>
          <a:off x="328331" y="1811079"/>
          <a:ext cx="646557" cy="677114"/>
        </a:xfrm>
        <a:prstGeom prst="roundRect">
          <a:avLst/>
        </a:prstGeom>
        <a:solidFill>
          <a:srgbClr val="BDD8E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800" b="1">
              <a:solidFill>
                <a:sysClr val="windowText" lastClr="000000"/>
              </a:solidFill>
            </a:rPr>
            <a:t>FACTURA</a:t>
          </a:r>
        </a:p>
        <a:p>
          <a:pPr algn="ctr"/>
          <a:r>
            <a:rPr lang="es-PE" sz="800" b="1">
              <a:solidFill>
                <a:sysClr val="windowText" lastClr="000000"/>
              </a:solidFill>
            </a:rPr>
            <a:t>INVOICE</a:t>
          </a:r>
        </a:p>
      </xdr:txBody>
    </xdr:sp>
    <xdr:clientData/>
  </xdr:twoCellAnchor>
  <xdr:twoCellAnchor>
    <xdr:from>
      <xdr:col>1</xdr:col>
      <xdr:colOff>183215</xdr:colOff>
      <xdr:row>1</xdr:row>
      <xdr:rowOff>209548</xdr:rowOff>
    </xdr:from>
    <xdr:to>
      <xdr:col>3</xdr:col>
      <xdr:colOff>109256</xdr:colOff>
      <xdr:row>2</xdr:row>
      <xdr:rowOff>186575</xdr:rowOff>
    </xdr:to>
    <xdr:grpSp>
      <xdr:nvGrpSpPr>
        <xdr:cNvPr id="15" name="Grupo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A81E79E-8455-B8A9-0EBE-A6AEE84B2DC6}"/>
            </a:ext>
          </a:extLst>
        </xdr:cNvPr>
        <xdr:cNvGrpSpPr/>
      </xdr:nvGrpSpPr>
      <xdr:grpSpPr>
        <a:xfrm>
          <a:off x="315737" y="308939"/>
          <a:ext cx="654910" cy="672766"/>
          <a:chOff x="316565" y="209550"/>
          <a:chExt cx="649941" cy="674257"/>
        </a:xfrm>
      </xdr:grpSpPr>
      <xdr:sp macro="" textlink="">
        <xdr:nvSpPr>
          <xdr:cNvPr id="4" name="Rectángulo: esquinas redondeadas 3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C8BC4333-54BB-ADC8-E7C5-6DB4F488EC84}"/>
              </a:ext>
            </a:extLst>
          </xdr:cNvPr>
          <xdr:cNvSpPr/>
        </xdr:nvSpPr>
        <xdr:spPr>
          <a:xfrm>
            <a:off x="316565" y="209550"/>
            <a:ext cx="649941" cy="674257"/>
          </a:xfrm>
          <a:prstGeom prst="roundRect">
            <a:avLst/>
          </a:prstGeom>
          <a:solidFill>
            <a:srgbClr val="0A4174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480" b="1"/>
              <a:t>INTRODUCCIÓN</a:t>
            </a:r>
          </a:p>
          <a:p>
            <a:pPr algn="ctr"/>
            <a:endParaRPr lang="es-PE" sz="1100" b="1"/>
          </a:p>
        </xdr:txBody>
      </xdr:sp>
      <xdr:pic>
        <xdr:nvPicPr>
          <xdr:cNvPr id="14" name="Gráfico 13" descr="Lupa con relleno sólido">
            <a:extLst>
              <a:ext uri="{FF2B5EF4-FFF2-40B4-BE49-F238E27FC236}">
                <a16:creationId xmlns:a16="http://schemas.microsoft.com/office/drawing/2014/main" id="{2B459AA2-64C4-6C75-E431-24831D7815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491490" y="491490"/>
            <a:ext cx="281940" cy="28194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169451</xdr:colOff>
      <xdr:row>16</xdr:row>
      <xdr:rowOff>32036</xdr:rowOff>
    </xdr:from>
    <xdr:to>
      <xdr:col>3</xdr:col>
      <xdr:colOff>129343</xdr:colOff>
      <xdr:row>18</xdr:row>
      <xdr:rowOff>249594</xdr:rowOff>
    </xdr:to>
    <xdr:sp macro="" textlink="">
      <xdr:nvSpPr>
        <xdr:cNvPr id="16" name="Rectángulo: esquinas redondeadas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FFAD7B0-51A2-470C-9D67-54CEE85D113C}"/>
            </a:ext>
          </a:extLst>
        </xdr:cNvPr>
        <xdr:cNvSpPr/>
      </xdr:nvSpPr>
      <xdr:spPr>
        <a:xfrm>
          <a:off x="312326" y="4985036"/>
          <a:ext cx="674267" cy="693808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DE VENTA</a:t>
          </a:r>
        </a:p>
      </xdr:txBody>
    </xdr:sp>
    <xdr:clientData/>
  </xdr:twoCellAnchor>
  <xdr:twoCellAnchor>
    <xdr:from>
      <xdr:col>1</xdr:col>
      <xdr:colOff>176174</xdr:colOff>
      <xdr:row>18</xdr:row>
      <xdr:rowOff>361358</xdr:rowOff>
    </xdr:from>
    <xdr:to>
      <xdr:col>3</xdr:col>
      <xdr:colOff>129343</xdr:colOff>
      <xdr:row>21</xdr:row>
      <xdr:rowOff>22224</xdr:rowOff>
    </xdr:to>
    <xdr:sp macro="" textlink="">
      <xdr:nvSpPr>
        <xdr:cNvPr id="17" name="Rectángulo: esquinas redondeadas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57B91D0-3802-42CC-9E16-6527AAAD0730}"/>
            </a:ext>
          </a:extLst>
        </xdr:cNvPr>
        <xdr:cNvSpPr/>
      </xdr:nvSpPr>
      <xdr:spPr>
        <a:xfrm>
          <a:off x="319049" y="5790608"/>
          <a:ext cx="667544" cy="684804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191798</xdr:colOff>
      <xdr:row>21</xdr:row>
      <xdr:rowOff>134147</xdr:rowOff>
    </xdr:from>
    <xdr:to>
      <xdr:col>3</xdr:col>
      <xdr:colOff>151690</xdr:colOff>
      <xdr:row>23</xdr:row>
      <xdr:rowOff>113580</xdr:rowOff>
    </xdr:to>
    <xdr:sp macro="" textlink="">
      <xdr:nvSpPr>
        <xdr:cNvPr id="18" name="Rectángulo: esquinas redondeadas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2154A39-77DE-4743-87FE-29B5162BFDD1}"/>
            </a:ext>
          </a:extLst>
        </xdr:cNvPr>
        <xdr:cNvSpPr/>
      </xdr:nvSpPr>
      <xdr:spPr>
        <a:xfrm>
          <a:off x="334673" y="6587335"/>
          <a:ext cx="674267" cy="693808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1</xdr:col>
      <xdr:colOff>183932</xdr:colOff>
      <xdr:row>24</xdr:row>
      <xdr:rowOff>101817</xdr:rowOff>
    </xdr:from>
    <xdr:to>
      <xdr:col>3</xdr:col>
      <xdr:colOff>142149</xdr:colOff>
      <xdr:row>25</xdr:row>
      <xdr:rowOff>424821</xdr:rowOff>
    </xdr:to>
    <xdr:sp macro="" textlink="">
      <xdr:nvSpPr>
        <xdr:cNvPr id="3" name="Rectángulo: esquinas redondeadas 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9601F64-386D-4795-ADF9-2E55EDC224D2}"/>
            </a:ext>
          </a:extLst>
        </xdr:cNvPr>
        <xdr:cNvSpPr/>
      </xdr:nvSpPr>
      <xdr:spPr>
        <a:xfrm>
          <a:off x="326807" y="7388442"/>
          <a:ext cx="672592" cy="680192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1</xdr:row>
      <xdr:rowOff>114299</xdr:rowOff>
    </xdr:from>
    <xdr:to>
      <xdr:col>4</xdr:col>
      <xdr:colOff>95250</xdr:colOff>
      <xdr:row>50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FB2F9DE-7A57-44BD-3214-D9B1EBB7B4EB}"/>
            </a:ext>
          </a:extLst>
        </xdr:cNvPr>
        <xdr:cNvSpPr/>
      </xdr:nvSpPr>
      <xdr:spPr>
        <a:xfrm>
          <a:off x="771525" y="742949"/>
          <a:ext cx="6696075" cy="12058651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125558</xdr:colOff>
      <xdr:row>1</xdr:row>
      <xdr:rowOff>131619</xdr:rowOff>
    </xdr:from>
    <xdr:to>
      <xdr:col>2</xdr:col>
      <xdr:colOff>140888</xdr:colOff>
      <xdr:row>26</xdr:row>
      <xdr:rowOff>142876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8DCB112D-698D-45EA-8888-19CFC2862C84}"/>
            </a:ext>
          </a:extLst>
        </xdr:cNvPr>
        <xdr:cNvSpPr/>
      </xdr:nvSpPr>
      <xdr:spPr>
        <a:xfrm>
          <a:off x="125558" y="569769"/>
          <a:ext cx="863055" cy="7907482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220247</xdr:colOff>
      <xdr:row>4</xdr:row>
      <xdr:rowOff>140514</xdr:rowOff>
    </xdr:from>
    <xdr:to>
      <xdr:col>2</xdr:col>
      <xdr:colOff>29389</xdr:colOff>
      <xdr:row>6</xdr:row>
      <xdr:rowOff>108016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67B4A5E9-8967-4FBA-88C5-EE7FF4F62E08}"/>
            </a:ext>
          </a:extLst>
        </xdr:cNvPr>
        <xdr:cNvGrpSpPr/>
      </xdr:nvGrpSpPr>
      <xdr:grpSpPr>
        <a:xfrm>
          <a:off x="220247" y="1417985"/>
          <a:ext cx="660789" cy="662266"/>
          <a:chOff x="430141" y="1986147"/>
          <a:chExt cx="650642" cy="682857"/>
        </a:xfrm>
      </xdr:grpSpPr>
      <xdr:sp macro="" textlink="">
        <xdr:nvSpPr>
          <xdr:cNvPr id="9" name="Rectángulo: esquinas redondeadas 8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10CE3128-28D0-9695-B98C-9F1A11A66A4A}"/>
              </a:ext>
            </a:extLst>
          </xdr:cNvPr>
          <xdr:cNvSpPr/>
        </xdr:nvSpPr>
        <xdr:spPr>
          <a:xfrm>
            <a:off x="430141" y="1986147"/>
            <a:ext cx="650642" cy="682857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10" name="Gráfico 9" descr="Búsqueda de carpetas contorno">
            <a:extLst>
              <a:ext uri="{FF2B5EF4-FFF2-40B4-BE49-F238E27FC236}">
                <a16:creationId xmlns:a16="http://schemas.microsoft.com/office/drawing/2014/main" id="{ED66CEB3-FF3E-840C-AA0B-E81D5864CD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215764</xdr:colOff>
      <xdr:row>9</xdr:row>
      <xdr:rowOff>137712</xdr:rowOff>
    </xdr:from>
    <xdr:to>
      <xdr:col>2</xdr:col>
      <xdr:colOff>31047</xdr:colOff>
      <xdr:row>11</xdr:row>
      <xdr:rowOff>105214</xdr:rowOff>
    </xdr:to>
    <xdr:sp macro="" textlink="">
      <xdr:nvSpPr>
        <xdr:cNvPr id="11" name="Rectángulo: esquinas redondeada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447438B-4964-4BA4-98A1-B073BEC7C389}"/>
            </a:ext>
          </a:extLst>
        </xdr:cNvPr>
        <xdr:cNvSpPr/>
      </xdr:nvSpPr>
      <xdr:spPr>
        <a:xfrm>
          <a:off x="215764" y="3116439"/>
          <a:ext cx="663874" cy="660230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/>
            <a:t>GASTOS DE IMPORT</a:t>
          </a:r>
        </a:p>
      </xdr:txBody>
    </xdr:sp>
    <xdr:clientData/>
  </xdr:twoCellAnchor>
  <xdr:twoCellAnchor>
    <xdr:from>
      <xdr:col>0</xdr:col>
      <xdr:colOff>211283</xdr:colOff>
      <xdr:row>11</xdr:row>
      <xdr:rowOff>212791</xdr:rowOff>
    </xdr:from>
    <xdr:to>
      <xdr:col>2</xdr:col>
      <xdr:colOff>37617</xdr:colOff>
      <xdr:row>13</xdr:row>
      <xdr:rowOff>342218</xdr:rowOff>
    </xdr:to>
    <xdr:sp macro="" textlink="">
      <xdr:nvSpPr>
        <xdr:cNvPr id="12" name="Rectángulo: esquinas redondeada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1E89471-49A9-4AC0-B8F0-43AD1A05BF4E}"/>
            </a:ext>
          </a:extLst>
        </xdr:cNvPr>
        <xdr:cNvSpPr/>
      </xdr:nvSpPr>
      <xdr:spPr>
        <a:xfrm>
          <a:off x="211283" y="3884246"/>
          <a:ext cx="674925" cy="666290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>
              <a:solidFill>
                <a:sysClr val="windowText" lastClr="000000"/>
              </a:solidFill>
            </a:rPr>
            <a:t>TRIBUTOS DE ADUANA</a:t>
          </a:r>
        </a:p>
      </xdr:txBody>
    </xdr:sp>
    <xdr:clientData/>
  </xdr:twoCellAnchor>
  <xdr:twoCellAnchor>
    <xdr:from>
      <xdr:col>0</xdr:col>
      <xdr:colOff>218006</xdr:colOff>
      <xdr:row>14</xdr:row>
      <xdr:rowOff>97370</xdr:rowOff>
    </xdr:from>
    <xdr:to>
      <xdr:col>2</xdr:col>
      <xdr:colOff>37617</xdr:colOff>
      <xdr:row>16</xdr:row>
      <xdr:rowOff>64872</xdr:rowOff>
    </xdr:to>
    <xdr:sp macro="" textlink="">
      <xdr:nvSpPr>
        <xdr:cNvPr id="13" name="Rectángulo: esquinas redondeadas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AB40709-8ABF-49CD-9F78-C285720BC5E0}"/>
            </a:ext>
          </a:extLst>
        </xdr:cNvPr>
        <xdr:cNvSpPr/>
      </xdr:nvSpPr>
      <xdr:spPr>
        <a:xfrm>
          <a:off x="218006" y="4652052"/>
          <a:ext cx="668202" cy="660229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600" b="1">
              <a:solidFill>
                <a:sysClr val="windowText" lastClr="000000"/>
              </a:solidFill>
            </a:rPr>
            <a:t>COSTOS 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POR PRODUCTO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215764</xdr:colOff>
      <xdr:row>6</xdr:row>
      <xdr:rowOff>204387</xdr:rowOff>
    </xdr:from>
    <xdr:to>
      <xdr:col>2</xdr:col>
      <xdr:colOff>31047</xdr:colOff>
      <xdr:row>9</xdr:row>
      <xdr:rowOff>38539</xdr:rowOff>
    </xdr:to>
    <xdr:sp macro="" textlink="">
      <xdr:nvSpPr>
        <xdr:cNvPr id="14" name="Rectángulo: esquinas redondeadas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095E14-A001-4D96-9852-8512310482D9}"/>
            </a:ext>
          </a:extLst>
        </xdr:cNvPr>
        <xdr:cNvSpPr/>
      </xdr:nvSpPr>
      <xdr:spPr>
        <a:xfrm>
          <a:off x="215764" y="2351842"/>
          <a:ext cx="663874" cy="665424"/>
        </a:xfrm>
        <a:prstGeom prst="roundRect">
          <a:avLst/>
        </a:prstGeom>
        <a:solidFill>
          <a:srgbClr val="BDD8E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800" b="1">
              <a:solidFill>
                <a:sysClr val="windowText" lastClr="000000"/>
              </a:solidFill>
            </a:rPr>
            <a:t>FACTURA</a:t>
          </a:r>
        </a:p>
        <a:p>
          <a:pPr algn="ctr"/>
          <a:r>
            <a:rPr lang="es-PE" sz="800" b="1">
              <a:solidFill>
                <a:sysClr val="windowText" lastClr="000000"/>
              </a:solidFill>
            </a:rPr>
            <a:t>INVOICE</a:t>
          </a:r>
        </a:p>
      </xdr:txBody>
    </xdr:sp>
    <xdr:clientData/>
  </xdr:twoCellAnchor>
  <xdr:twoCellAnchor>
    <xdr:from>
      <xdr:col>0</xdr:col>
      <xdr:colOff>230662</xdr:colOff>
      <xdr:row>1</xdr:row>
      <xdr:rowOff>229556</xdr:rowOff>
    </xdr:from>
    <xdr:to>
      <xdr:col>2</xdr:col>
      <xdr:colOff>33206</xdr:colOff>
      <xdr:row>4</xdr:row>
      <xdr:rowOff>47943</xdr:rowOff>
    </xdr:to>
    <xdr:sp macro="" textlink="">
      <xdr:nvSpPr>
        <xdr:cNvPr id="15" name="Rectángulo: esquinas redondeadas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562852C-F589-490E-B263-A618738ABD22}"/>
            </a:ext>
          </a:extLst>
        </xdr:cNvPr>
        <xdr:cNvSpPr/>
      </xdr:nvSpPr>
      <xdr:spPr>
        <a:xfrm>
          <a:off x="230662" y="860177"/>
          <a:ext cx="649941" cy="672352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200" b="1"/>
            <a:t>Inicio</a:t>
          </a:r>
        </a:p>
        <a:p>
          <a:pPr algn="ctr"/>
          <a:endParaRPr lang="es-PE" sz="1200" b="1"/>
        </a:p>
      </xdr:txBody>
    </xdr:sp>
    <xdr:clientData/>
  </xdr:twoCellAnchor>
  <xdr:twoCellAnchor editAs="oneCell">
    <xdr:from>
      <xdr:col>0</xdr:col>
      <xdr:colOff>400707</xdr:colOff>
      <xdr:row>3</xdr:row>
      <xdr:rowOff>14450</xdr:rowOff>
    </xdr:from>
    <xdr:to>
      <xdr:col>1</xdr:col>
      <xdr:colOff>315311</xdr:colOff>
      <xdr:row>3</xdr:row>
      <xdr:rowOff>336330</xdr:rowOff>
    </xdr:to>
    <xdr:pic>
      <xdr:nvPicPr>
        <xdr:cNvPr id="17" name="Gráfico 16" descr="Hogar contorno">
          <a:extLst>
            <a:ext uri="{FF2B5EF4-FFF2-40B4-BE49-F238E27FC236}">
              <a16:creationId xmlns:a16="http://schemas.microsoft.com/office/drawing/2014/main" id="{BAE9DDBC-E52F-0F69-6231-5DFFE6305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00707" y="1144312"/>
          <a:ext cx="321880" cy="321880"/>
        </a:xfrm>
        <a:prstGeom prst="rect">
          <a:avLst/>
        </a:prstGeom>
      </xdr:spPr>
    </xdr:pic>
    <xdr:clientData/>
  </xdr:twoCellAnchor>
  <xdr:twoCellAnchor>
    <xdr:from>
      <xdr:col>0</xdr:col>
      <xdr:colOff>208531</xdr:colOff>
      <xdr:row>16</xdr:row>
      <xdr:rowOff>157370</xdr:rowOff>
    </xdr:from>
    <xdr:to>
      <xdr:col>2</xdr:col>
      <xdr:colOff>50961</xdr:colOff>
      <xdr:row>18</xdr:row>
      <xdr:rowOff>125884</xdr:rowOff>
    </xdr:to>
    <xdr:sp macro="" textlink="">
      <xdr:nvSpPr>
        <xdr:cNvPr id="31" name="Rectángulo: esquinas redondeadas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3616F8E-DD8B-45D8-A277-6724AEC7953F}"/>
            </a:ext>
          </a:extLst>
        </xdr:cNvPr>
        <xdr:cNvSpPr/>
      </xdr:nvSpPr>
      <xdr:spPr>
        <a:xfrm>
          <a:off x="208531" y="5334000"/>
          <a:ext cx="687256" cy="680819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DE VENTA</a:t>
          </a:r>
        </a:p>
      </xdr:txBody>
    </xdr:sp>
    <xdr:clientData/>
  </xdr:twoCellAnchor>
  <xdr:twoCellAnchor>
    <xdr:from>
      <xdr:col>0</xdr:col>
      <xdr:colOff>215254</xdr:colOff>
      <xdr:row>19</xdr:row>
      <xdr:rowOff>47148</xdr:rowOff>
    </xdr:from>
    <xdr:to>
      <xdr:col>2</xdr:col>
      <xdr:colOff>50961</xdr:colOff>
      <xdr:row>21</xdr:row>
      <xdr:rowOff>23978</xdr:rowOff>
    </xdr:to>
    <xdr:sp macro="" textlink="">
      <xdr:nvSpPr>
        <xdr:cNvPr id="32" name="Rectángulo: esquinas redondeadas 3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8988806-49A6-42C2-A5DC-66B39D7DA28F}"/>
            </a:ext>
          </a:extLst>
        </xdr:cNvPr>
        <xdr:cNvSpPr/>
      </xdr:nvSpPr>
      <xdr:spPr>
        <a:xfrm>
          <a:off x="215254" y="6126583"/>
          <a:ext cx="680533" cy="689134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219149</xdr:colOff>
      <xdr:row>21</xdr:row>
      <xdr:rowOff>141143</xdr:rowOff>
    </xdr:from>
    <xdr:to>
      <xdr:col>2</xdr:col>
      <xdr:colOff>48492</xdr:colOff>
      <xdr:row>23</xdr:row>
      <xdr:rowOff>283621</xdr:rowOff>
    </xdr:to>
    <xdr:sp macro="" textlink="">
      <xdr:nvSpPr>
        <xdr:cNvPr id="6" name="Rectángulo: esquinas redondeadas 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D63294B-9FF5-4F64-B119-4F6EF5C11D11}"/>
            </a:ext>
          </a:extLst>
        </xdr:cNvPr>
        <xdr:cNvSpPr/>
      </xdr:nvSpPr>
      <xdr:spPr>
        <a:xfrm>
          <a:off x="219149" y="6875318"/>
          <a:ext cx="677068" cy="685403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0</xdr:col>
      <xdr:colOff>220808</xdr:colOff>
      <xdr:row>24</xdr:row>
      <xdr:rowOff>42698</xdr:rowOff>
    </xdr:from>
    <xdr:to>
      <xdr:col>2</xdr:col>
      <xdr:colOff>48476</xdr:colOff>
      <xdr:row>26</xdr:row>
      <xdr:rowOff>8234</xdr:rowOff>
    </xdr:to>
    <xdr:sp macro="" textlink="">
      <xdr:nvSpPr>
        <xdr:cNvPr id="7" name="Rectángulo: esquinas redondeadas 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62FCF0E-3CB3-4368-BBBA-3284AB78FCF3}"/>
            </a:ext>
          </a:extLst>
        </xdr:cNvPr>
        <xdr:cNvSpPr/>
      </xdr:nvSpPr>
      <xdr:spPr>
        <a:xfrm>
          <a:off x="220808" y="7672223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47625</xdr:rowOff>
    </xdr:from>
    <xdr:to>
      <xdr:col>2</xdr:col>
      <xdr:colOff>125548</xdr:colOff>
      <xdr:row>35</xdr:row>
      <xdr:rowOff>158750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A15CF08B-76B9-48BC-9B07-69DE1177C235}"/>
            </a:ext>
          </a:extLst>
        </xdr:cNvPr>
        <xdr:cNvSpPr/>
      </xdr:nvSpPr>
      <xdr:spPr>
        <a:xfrm>
          <a:off x="161925" y="619125"/>
          <a:ext cx="863206" cy="7815792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252131</xdr:colOff>
      <xdr:row>11</xdr:row>
      <xdr:rowOff>172100</xdr:rowOff>
    </xdr:from>
    <xdr:to>
      <xdr:col>2</xdr:col>
      <xdr:colOff>15707</xdr:colOff>
      <xdr:row>14</xdr:row>
      <xdr:rowOff>104223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0ED818-89A9-4583-9443-F8F0D195AD5D}"/>
            </a:ext>
          </a:extLst>
        </xdr:cNvPr>
        <xdr:cNvSpPr/>
      </xdr:nvSpPr>
      <xdr:spPr>
        <a:xfrm>
          <a:off x="252131" y="3020075"/>
          <a:ext cx="658926" cy="675073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/>
            <a:t>GASTOS DE IMPORT</a:t>
          </a:r>
        </a:p>
      </xdr:txBody>
    </xdr:sp>
    <xdr:clientData/>
  </xdr:twoCellAnchor>
  <xdr:twoCellAnchor>
    <xdr:from>
      <xdr:col>0</xdr:col>
      <xdr:colOff>247650</xdr:colOff>
      <xdr:row>14</xdr:row>
      <xdr:rowOff>211800</xdr:rowOff>
    </xdr:from>
    <xdr:to>
      <xdr:col>2</xdr:col>
      <xdr:colOff>22277</xdr:colOff>
      <xdr:row>17</xdr:row>
      <xdr:rowOff>199713</xdr:rowOff>
    </xdr:to>
    <xdr:sp macro="" textlink="">
      <xdr:nvSpPr>
        <xdr:cNvPr id="7" name="Rectángulo: esquinas redondeada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9A0572-EC8F-4E29-ADD5-425AF1475AAD}"/>
            </a:ext>
          </a:extLst>
        </xdr:cNvPr>
        <xdr:cNvSpPr/>
      </xdr:nvSpPr>
      <xdr:spPr>
        <a:xfrm>
          <a:off x="247650" y="3802725"/>
          <a:ext cx="669977" cy="673713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>
              <a:solidFill>
                <a:sysClr val="windowText" lastClr="000000"/>
              </a:solidFill>
            </a:rPr>
            <a:t>TRIBUTOS DE ADUANA</a:t>
          </a:r>
        </a:p>
      </xdr:txBody>
    </xdr:sp>
    <xdr:clientData/>
  </xdr:twoCellAnchor>
  <xdr:twoCellAnchor>
    <xdr:from>
      <xdr:col>0</xdr:col>
      <xdr:colOff>254373</xdr:colOff>
      <xdr:row>18</xdr:row>
      <xdr:rowOff>61001</xdr:rowOff>
    </xdr:from>
    <xdr:to>
      <xdr:col>2</xdr:col>
      <xdr:colOff>22277</xdr:colOff>
      <xdr:row>20</xdr:row>
      <xdr:rowOff>240774</xdr:rowOff>
    </xdr:to>
    <xdr:sp macro="" textlink="">
      <xdr:nvSpPr>
        <xdr:cNvPr id="8" name="Rectángulo: esquinas redondeada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A899CB5-2191-4748-A961-8C5E4730A098}"/>
            </a:ext>
          </a:extLst>
        </xdr:cNvPr>
        <xdr:cNvSpPr/>
      </xdr:nvSpPr>
      <xdr:spPr>
        <a:xfrm>
          <a:off x="254373" y="4585376"/>
          <a:ext cx="663254" cy="675073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600" b="1">
              <a:solidFill>
                <a:sysClr val="windowText" lastClr="000000"/>
              </a:solidFill>
            </a:rPr>
            <a:t>COSTOS 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POR PRODUCTO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252131</xdr:colOff>
      <xdr:row>8</xdr:row>
      <xdr:rowOff>138082</xdr:rowOff>
    </xdr:from>
    <xdr:to>
      <xdr:col>2</xdr:col>
      <xdr:colOff>15707</xdr:colOff>
      <xdr:row>11</xdr:row>
      <xdr:rowOff>72927</xdr:rowOff>
    </xdr:to>
    <xdr:sp macro="" textlink="">
      <xdr:nvSpPr>
        <xdr:cNvPr id="9" name="Rectángulo: esquinas redondeada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936399-59DB-476E-9988-6EDBD8FDEC4F}"/>
            </a:ext>
          </a:extLst>
        </xdr:cNvPr>
        <xdr:cNvSpPr/>
      </xdr:nvSpPr>
      <xdr:spPr>
        <a:xfrm>
          <a:off x="252131" y="2243107"/>
          <a:ext cx="658926" cy="677795"/>
        </a:xfrm>
        <a:prstGeom prst="roundRect">
          <a:avLst/>
        </a:prstGeom>
        <a:solidFill>
          <a:srgbClr val="BDD8E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800" b="1">
              <a:solidFill>
                <a:sysClr val="windowText" lastClr="000000"/>
              </a:solidFill>
            </a:rPr>
            <a:t>FACTURA</a:t>
          </a:r>
        </a:p>
        <a:p>
          <a:pPr algn="ctr"/>
          <a:r>
            <a:rPr lang="es-PE" sz="800" b="1">
              <a:solidFill>
                <a:sysClr val="windowText" lastClr="000000"/>
              </a:solidFill>
            </a:rPr>
            <a:t>INVOICE</a:t>
          </a:r>
        </a:p>
      </xdr:txBody>
    </xdr:sp>
    <xdr:clientData/>
  </xdr:twoCellAnchor>
  <xdr:twoCellAnchor>
    <xdr:from>
      <xdr:col>0</xdr:col>
      <xdr:colOff>267029</xdr:colOff>
      <xdr:row>1</xdr:row>
      <xdr:rowOff>145562</xdr:rowOff>
    </xdr:from>
    <xdr:to>
      <xdr:col>2</xdr:col>
      <xdr:colOff>17866</xdr:colOff>
      <xdr:row>5</xdr:row>
      <xdr:rowOff>17016</xdr:rowOff>
    </xdr:to>
    <xdr:sp macro="" textlink="">
      <xdr:nvSpPr>
        <xdr:cNvPr id="10" name="Rectángulo: esquinas redondeada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B75D437-339C-4267-A4B0-A04E8D2C2A51}"/>
            </a:ext>
          </a:extLst>
        </xdr:cNvPr>
        <xdr:cNvSpPr/>
      </xdr:nvSpPr>
      <xdr:spPr>
        <a:xfrm>
          <a:off x="267029" y="717062"/>
          <a:ext cx="646187" cy="662029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200" b="1"/>
            <a:t>Inicio</a:t>
          </a:r>
        </a:p>
        <a:p>
          <a:pPr algn="ctr"/>
          <a:endParaRPr lang="es-PE" sz="1200" b="1"/>
        </a:p>
      </xdr:txBody>
    </xdr:sp>
    <xdr:clientData/>
  </xdr:twoCellAnchor>
  <xdr:twoCellAnchor editAs="oneCell">
    <xdr:from>
      <xdr:col>0</xdr:col>
      <xdr:colOff>437074</xdr:colOff>
      <xdr:row>3</xdr:row>
      <xdr:rowOff>125038</xdr:rowOff>
    </xdr:from>
    <xdr:to>
      <xdr:col>1</xdr:col>
      <xdr:colOff>274117</xdr:colOff>
      <xdr:row>4</xdr:row>
      <xdr:rowOff>199268</xdr:rowOff>
    </xdr:to>
    <xdr:pic>
      <xdr:nvPicPr>
        <xdr:cNvPr id="11" name="Gráfico 10" descr="Hogar contorno">
          <a:extLst>
            <a:ext uri="{FF2B5EF4-FFF2-40B4-BE49-F238E27FC236}">
              <a16:creationId xmlns:a16="http://schemas.microsoft.com/office/drawing/2014/main" id="{8F81A9D9-C3A3-46DD-99FD-208AB585D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37074" y="991813"/>
          <a:ext cx="322818" cy="321880"/>
        </a:xfrm>
        <a:prstGeom prst="rect">
          <a:avLst/>
        </a:prstGeom>
      </xdr:spPr>
    </xdr:pic>
    <xdr:clientData/>
  </xdr:twoCellAnchor>
  <xdr:twoCellAnchor>
    <xdr:from>
      <xdr:col>0</xdr:col>
      <xdr:colOff>262189</xdr:colOff>
      <xdr:row>5</xdr:row>
      <xdr:rowOff>107783</xdr:rowOff>
    </xdr:from>
    <xdr:to>
      <xdr:col>2</xdr:col>
      <xdr:colOff>14775</xdr:colOff>
      <xdr:row>8</xdr:row>
      <xdr:rowOff>45106</xdr:rowOff>
    </xdr:to>
    <xdr:sp macro="" textlink="">
      <xdr:nvSpPr>
        <xdr:cNvPr id="17" name="Rectángulo: esquinas redondeadas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FAFB974-D2C7-41F9-9555-96DF6B1D92D8}"/>
            </a:ext>
          </a:extLst>
        </xdr:cNvPr>
        <xdr:cNvSpPr/>
      </xdr:nvSpPr>
      <xdr:spPr>
        <a:xfrm>
          <a:off x="262189" y="1466349"/>
          <a:ext cx="649941" cy="674257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480" b="1"/>
            <a:t>INTRODUCCIÓN</a:t>
          </a:r>
        </a:p>
        <a:p>
          <a:pPr algn="ctr"/>
          <a:endParaRPr lang="es-PE" sz="1100" b="1"/>
        </a:p>
      </xdr:txBody>
    </xdr:sp>
    <xdr:clientData/>
  </xdr:twoCellAnchor>
  <xdr:twoCellAnchor>
    <xdr:from>
      <xdr:col>0</xdr:col>
      <xdr:colOff>437114</xdr:colOff>
      <xdr:row>6</xdr:row>
      <xdr:rowOff>144078</xdr:rowOff>
    </xdr:from>
    <xdr:to>
      <xdr:col>1</xdr:col>
      <xdr:colOff>232778</xdr:colOff>
      <xdr:row>7</xdr:row>
      <xdr:rowOff>180374</xdr:rowOff>
    </xdr:to>
    <xdr:pic>
      <xdr:nvPicPr>
        <xdr:cNvPr id="18" name="Gráfico 17" descr="Lupa con relleno sólido">
          <a:extLst>
            <a:ext uri="{FF2B5EF4-FFF2-40B4-BE49-F238E27FC236}">
              <a16:creationId xmlns:a16="http://schemas.microsoft.com/office/drawing/2014/main" id="{852914C2-BE06-4CA5-8B8B-5C9205993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37114" y="1748289"/>
          <a:ext cx="281940" cy="281940"/>
        </a:xfrm>
        <a:prstGeom prst="rect">
          <a:avLst/>
        </a:prstGeom>
      </xdr:spPr>
    </xdr:pic>
    <xdr:clientData/>
  </xdr:twoCellAnchor>
  <xdr:twoCellAnchor>
    <xdr:from>
      <xdr:col>0</xdr:col>
      <xdr:colOff>235097</xdr:colOff>
      <xdr:row>21</xdr:row>
      <xdr:rowOff>107830</xdr:rowOff>
    </xdr:from>
    <xdr:to>
      <xdr:col>2</xdr:col>
      <xdr:colOff>23768</xdr:colOff>
      <xdr:row>24</xdr:row>
      <xdr:rowOff>33837</xdr:rowOff>
    </xdr:to>
    <xdr:sp macro="" textlink="">
      <xdr:nvSpPr>
        <xdr:cNvPr id="25" name="Rectángulo: esquinas redondeada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821BA07-BA20-4D95-9A24-A343420521F0}"/>
            </a:ext>
          </a:extLst>
        </xdr:cNvPr>
        <xdr:cNvSpPr/>
      </xdr:nvSpPr>
      <xdr:spPr>
        <a:xfrm>
          <a:off x="235097" y="5445424"/>
          <a:ext cx="687256" cy="680819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DE VENTA</a:t>
          </a:r>
        </a:p>
      </xdr:txBody>
    </xdr:sp>
    <xdr:clientData/>
  </xdr:twoCellAnchor>
  <xdr:twoCellAnchor>
    <xdr:from>
      <xdr:col>0</xdr:col>
      <xdr:colOff>241820</xdr:colOff>
      <xdr:row>24</xdr:row>
      <xdr:rowOff>145601</xdr:rowOff>
    </xdr:from>
    <xdr:to>
      <xdr:col>2</xdr:col>
      <xdr:colOff>23768</xdr:colOff>
      <xdr:row>27</xdr:row>
      <xdr:rowOff>79924</xdr:rowOff>
    </xdr:to>
    <xdr:sp macro="" textlink="">
      <xdr:nvSpPr>
        <xdr:cNvPr id="26" name="Rectángulo: esquinas redondeada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D1AE4F1-D2A2-4CAB-A8CA-FAEFEBD7CB9C}"/>
            </a:ext>
          </a:extLst>
        </xdr:cNvPr>
        <xdr:cNvSpPr/>
      </xdr:nvSpPr>
      <xdr:spPr>
        <a:xfrm>
          <a:off x="241820" y="6238007"/>
          <a:ext cx="680533" cy="689134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254000</xdr:colOff>
      <xdr:row>27</xdr:row>
      <xdr:rowOff>190499</xdr:rowOff>
    </xdr:from>
    <xdr:to>
      <xdr:col>2</xdr:col>
      <xdr:colOff>31485</xdr:colOff>
      <xdr:row>31</xdr:row>
      <xdr:rowOff>18652</xdr:rowOff>
    </xdr:to>
    <xdr:sp macro="" textlink="">
      <xdr:nvSpPr>
        <xdr:cNvPr id="5" name="Rectángulo: esquinas redondeadas 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0315E02-B8D0-4085-84E4-E1F45EDC7F13}"/>
            </a:ext>
          </a:extLst>
        </xdr:cNvPr>
        <xdr:cNvSpPr/>
      </xdr:nvSpPr>
      <xdr:spPr>
        <a:xfrm>
          <a:off x="254000" y="6847416"/>
          <a:ext cx="677068" cy="685403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0</xdr:col>
      <xdr:colOff>255659</xdr:colOff>
      <xdr:row>31</xdr:row>
      <xdr:rowOff>130154</xdr:rowOff>
    </xdr:from>
    <xdr:to>
      <xdr:col>2</xdr:col>
      <xdr:colOff>31469</xdr:colOff>
      <xdr:row>35</xdr:row>
      <xdr:rowOff>38540</xdr:rowOff>
    </xdr:to>
    <xdr:sp macro="" textlink="">
      <xdr:nvSpPr>
        <xdr:cNvPr id="12" name="Rectángulo: esquinas redondeadas 1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E5EE7D3-00B7-403E-8730-B9523D9A6198}"/>
            </a:ext>
          </a:extLst>
        </xdr:cNvPr>
        <xdr:cNvSpPr/>
      </xdr:nvSpPr>
      <xdr:spPr>
        <a:xfrm>
          <a:off x="255659" y="7644321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298077</xdr:colOff>
      <xdr:row>19</xdr:row>
      <xdr:rowOff>29136</xdr:rowOff>
    </xdr:from>
    <xdr:to>
      <xdr:col>18</xdr:col>
      <xdr:colOff>544606</xdr:colOff>
      <xdr:row>31</xdr:row>
      <xdr:rowOff>201706</xdr:rowOff>
    </xdr:to>
    <xdr:sp macro="" textlink="">
      <xdr:nvSpPr>
        <xdr:cNvPr id="37" name="Rectángulo: esquinas redondeadas 36">
          <a:extLst>
            <a:ext uri="{FF2B5EF4-FFF2-40B4-BE49-F238E27FC236}">
              <a16:creationId xmlns:a16="http://schemas.microsoft.com/office/drawing/2014/main" id="{220B3A9A-3761-41F6-921A-7EFFD212263E}"/>
            </a:ext>
          </a:extLst>
        </xdr:cNvPr>
        <xdr:cNvSpPr/>
      </xdr:nvSpPr>
      <xdr:spPr>
        <a:xfrm>
          <a:off x="11066930" y="5251077"/>
          <a:ext cx="3742764" cy="3130923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78441</xdr:colOff>
      <xdr:row>0</xdr:row>
      <xdr:rowOff>179294</xdr:rowOff>
    </xdr:from>
    <xdr:to>
      <xdr:col>2</xdr:col>
      <xdr:colOff>351864</xdr:colOff>
      <xdr:row>31</xdr:row>
      <xdr:rowOff>107156</xdr:rowOff>
    </xdr:to>
    <xdr:sp macro="" textlink="">
      <xdr:nvSpPr>
        <xdr:cNvPr id="36" name="Rectángulo: esquinas redondeadas 35">
          <a:extLst>
            <a:ext uri="{FF2B5EF4-FFF2-40B4-BE49-F238E27FC236}">
              <a16:creationId xmlns:a16="http://schemas.microsoft.com/office/drawing/2014/main" id="{898D5792-76AA-473D-91CD-5BC7DD0837E3}"/>
            </a:ext>
          </a:extLst>
        </xdr:cNvPr>
        <xdr:cNvSpPr/>
      </xdr:nvSpPr>
      <xdr:spPr>
        <a:xfrm>
          <a:off x="161785" y="179294"/>
          <a:ext cx="856829" cy="8012206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12</xdr:col>
      <xdr:colOff>302559</xdr:colOff>
      <xdr:row>1</xdr:row>
      <xdr:rowOff>11206</xdr:rowOff>
    </xdr:from>
    <xdr:to>
      <xdr:col>18</xdr:col>
      <xdr:colOff>549088</xdr:colOff>
      <xdr:row>18</xdr:row>
      <xdr:rowOff>44823</xdr:rowOff>
    </xdr:to>
    <xdr:sp macro="" textlink="">
      <xdr:nvSpPr>
        <xdr:cNvPr id="34" name="Rectángulo: esquinas redondeadas 33">
          <a:extLst>
            <a:ext uri="{FF2B5EF4-FFF2-40B4-BE49-F238E27FC236}">
              <a16:creationId xmlns:a16="http://schemas.microsoft.com/office/drawing/2014/main" id="{463B5121-E801-F96C-C5C3-E9587C5BADE6}"/>
            </a:ext>
          </a:extLst>
        </xdr:cNvPr>
        <xdr:cNvSpPr/>
      </xdr:nvSpPr>
      <xdr:spPr>
        <a:xfrm>
          <a:off x="11340353" y="201706"/>
          <a:ext cx="3585882" cy="4628029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12</xdr:col>
      <xdr:colOff>357888</xdr:colOff>
      <xdr:row>1</xdr:row>
      <xdr:rowOff>82644</xdr:rowOff>
    </xdr:from>
    <xdr:to>
      <xdr:col>19</xdr:col>
      <xdr:colOff>11206</xdr:colOff>
      <xdr:row>18</xdr:row>
      <xdr:rowOff>33618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236026</xdr:colOff>
      <xdr:row>19</xdr:row>
      <xdr:rowOff>201706</xdr:rowOff>
    </xdr:from>
    <xdr:to>
      <xdr:col>19</xdr:col>
      <xdr:colOff>44822</xdr:colOff>
      <xdr:row>31</xdr:row>
      <xdr:rowOff>191900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171915</xdr:colOff>
      <xdr:row>1</xdr:row>
      <xdr:rowOff>65598</xdr:rowOff>
    </xdr:from>
    <xdr:to>
      <xdr:col>2</xdr:col>
      <xdr:colOff>239150</xdr:colOff>
      <xdr:row>3</xdr:row>
      <xdr:rowOff>31979</xdr:rowOff>
    </xdr:to>
    <xdr:grpSp>
      <xdr:nvGrpSpPr>
        <xdr:cNvPr id="28" name="Grupo 2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37C4A1-AFE6-1AEE-F804-7C29C67BF778}"/>
            </a:ext>
          </a:extLst>
        </xdr:cNvPr>
        <xdr:cNvGrpSpPr/>
      </xdr:nvGrpSpPr>
      <xdr:grpSpPr>
        <a:xfrm>
          <a:off x="261562" y="256098"/>
          <a:ext cx="649941" cy="672352"/>
          <a:chOff x="427899" y="446598"/>
          <a:chExt cx="650642" cy="674803"/>
        </a:xfrm>
      </xdr:grpSpPr>
      <xdr:sp macro="" textlink="">
        <xdr:nvSpPr>
          <xdr:cNvPr id="13" name="Rectángulo: esquinas redondeadas 12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2DF5E3BA-F266-08A2-85C9-CC0F8918EFB2}"/>
              </a:ext>
            </a:extLst>
          </xdr:cNvPr>
          <xdr:cNvSpPr/>
        </xdr:nvSpPr>
        <xdr:spPr>
          <a:xfrm>
            <a:off x="427899" y="446598"/>
            <a:ext cx="650642" cy="674803"/>
          </a:xfrm>
          <a:prstGeom prst="roundRect">
            <a:avLst/>
          </a:prstGeom>
          <a:solidFill>
            <a:srgbClr val="001D39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Inicio</a:t>
            </a:r>
          </a:p>
          <a:p>
            <a:pPr algn="ctr"/>
            <a:endParaRPr lang="es-PE" sz="1200" b="1"/>
          </a:p>
        </xdr:txBody>
      </xdr:sp>
      <xdr:pic>
        <xdr:nvPicPr>
          <xdr:cNvPr id="15" name="Gráfico 14" descr="Hogar contorno">
            <a:extLst>
              <a:ext uri="{FF2B5EF4-FFF2-40B4-BE49-F238E27FC236}">
                <a16:creationId xmlns:a16="http://schemas.microsoft.com/office/drawing/2014/main" id="{578A428B-6121-F3B5-20B4-E77A9DAAAF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619971" y="736506"/>
            <a:ext cx="268035" cy="27013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174157</xdr:colOff>
      <xdr:row>5</xdr:row>
      <xdr:rowOff>206163</xdr:rowOff>
    </xdr:from>
    <xdr:to>
      <xdr:col>2</xdr:col>
      <xdr:colOff>241392</xdr:colOff>
      <xdr:row>8</xdr:row>
      <xdr:rowOff>138926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B12B710C-D2F2-8C9D-2B41-8456D3AE8907}"/>
            </a:ext>
          </a:extLst>
        </xdr:cNvPr>
        <xdr:cNvGrpSpPr/>
      </xdr:nvGrpSpPr>
      <xdr:grpSpPr>
        <a:xfrm>
          <a:off x="263804" y="1786192"/>
          <a:ext cx="649941" cy="672352"/>
          <a:chOff x="430141" y="1986147"/>
          <a:chExt cx="650642" cy="682857"/>
        </a:xfrm>
      </xdr:grpSpPr>
      <xdr:sp macro="" textlink="">
        <xdr:nvSpPr>
          <xdr:cNvPr id="22" name="Rectángulo: esquinas redondeadas 21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F6DAAA3C-6402-4E3F-C916-B6AAC472A3C2}"/>
              </a:ext>
            </a:extLst>
          </xdr:cNvPr>
          <xdr:cNvSpPr/>
        </xdr:nvSpPr>
        <xdr:spPr>
          <a:xfrm>
            <a:off x="430141" y="1986147"/>
            <a:ext cx="650642" cy="682857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27" name="Gráfico 26" descr="Búsqueda de carpetas contorno">
            <a:extLst>
              <a:ext uri="{FF2B5EF4-FFF2-40B4-BE49-F238E27FC236}">
                <a16:creationId xmlns:a16="http://schemas.microsoft.com/office/drawing/2014/main" id="{CFE1EAEB-A023-2C59-E97D-3850A670FC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169674</xdr:colOff>
      <xdr:row>8</xdr:row>
      <xdr:rowOff>235297</xdr:rowOff>
    </xdr:from>
    <xdr:to>
      <xdr:col>2</xdr:col>
      <xdr:colOff>243050</xdr:colOff>
      <xdr:row>11</xdr:row>
      <xdr:rowOff>168061</xdr:rowOff>
    </xdr:to>
    <xdr:sp macro="" textlink="">
      <xdr:nvSpPr>
        <xdr:cNvPr id="38" name="Rectángulo: esquinas redondeadas 3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6755BB7-B787-4469-A1F6-620C7E270CA3}"/>
            </a:ext>
          </a:extLst>
        </xdr:cNvPr>
        <xdr:cNvSpPr/>
      </xdr:nvSpPr>
      <xdr:spPr>
        <a:xfrm>
          <a:off x="425864" y="2757780"/>
          <a:ext cx="651445" cy="681626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/>
            <a:t>GASTOS DE IMPORT</a:t>
          </a:r>
        </a:p>
      </xdr:txBody>
    </xdr:sp>
    <xdr:clientData/>
  </xdr:twoCellAnchor>
  <xdr:twoCellAnchor>
    <xdr:from>
      <xdr:col>1</xdr:col>
      <xdr:colOff>165193</xdr:colOff>
      <xdr:row>12</xdr:row>
      <xdr:rowOff>29109</xdr:rowOff>
    </xdr:from>
    <xdr:to>
      <xdr:col>2</xdr:col>
      <xdr:colOff>249620</xdr:colOff>
      <xdr:row>14</xdr:row>
      <xdr:rowOff>208402</xdr:rowOff>
    </xdr:to>
    <xdr:sp macro="" textlink="">
      <xdr:nvSpPr>
        <xdr:cNvPr id="39" name="Rectángulo: esquinas redondeadas 3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9457A88-232D-44AD-B13D-DE64FBD1E1D5}"/>
            </a:ext>
          </a:extLst>
        </xdr:cNvPr>
        <xdr:cNvSpPr/>
      </xdr:nvSpPr>
      <xdr:spPr>
        <a:xfrm>
          <a:off x="421383" y="3550075"/>
          <a:ext cx="662496" cy="678534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>
              <a:solidFill>
                <a:sysClr val="windowText" lastClr="000000"/>
              </a:solidFill>
            </a:rPr>
            <a:t>TRIBUTOS DE ADUANA</a:t>
          </a:r>
        </a:p>
      </xdr:txBody>
    </xdr:sp>
    <xdr:clientData/>
  </xdr:twoCellAnchor>
  <xdr:twoCellAnchor>
    <xdr:from>
      <xdr:col>1</xdr:col>
      <xdr:colOff>171916</xdr:colOff>
      <xdr:row>15</xdr:row>
      <xdr:rowOff>69449</xdr:rowOff>
    </xdr:from>
    <xdr:to>
      <xdr:col>2</xdr:col>
      <xdr:colOff>249620</xdr:colOff>
      <xdr:row>18</xdr:row>
      <xdr:rowOff>2213</xdr:rowOff>
    </xdr:to>
    <xdr:sp macro="" textlink="">
      <xdr:nvSpPr>
        <xdr:cNvPr id="40" name="Rectángulo: esquinas redondeadas 3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9FF9D20-536A-4768-A090-6FF20E8AB718}"/>
            </a:ext>
          </a:extLst>
        </xdr:cNvPr>
        <xdr:cNvSpPr/>
      </xdr:nvSpPr>
      <xdr:spPr>
        <a:xfrm>
          <a:off x="428106" y="4339277"/>
          <a:ext cx="655773" cy="68162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600" b="1">
              <a:solidFill>
                <a:sysClr val="windowText" lastClr="000000"/>
              </a:solidFill>
            </a:rPr>
            <a:t>COSTOS 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POR PRODUCTO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180473</xdr:colOff>
      <xdr:row>3</xdr:row>
      <xdr:rowOff>110290</xdr:rowOff>
    </xdr:from>
    <xdr:to>
      <xdr:col>2</xdr:col>
      <xdr:colOff>248888</xdr:colOff>
      <xdr:row>5</xdr:row>
      <xdr:rowOff>102757</xdr:rowOff>
    </xdr:to>
    <xdr:sp macro="" textlink="">
      <xdr:nvSpPr>
        <xdr:cNvPr id="44" name="Rectángulo: esquinas redondeadas 4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8EDE189-F82D-4AA9-BC36-BF222826A39C}"/>
            </a:ext>
          </a:extLst>
        </xdr:cNvPr>
        <xdr:cNvSpPr/>
      </xdr:nvSpPr>
      <xdr:spPr>
        <a:xfrm>
          <a:off x="265697" y="1007645"/>
          <a:ext cx="649941" cy="674257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480" b="1"/>
            <a:t>INTRODUCCIÓN</a:t>
          </a:r>
        </a:p>
        <a:p>
          <a:pPr algn="ctr"/>
          <a:endParaRPr lang="es-PE" sz="1100" b="1"/>
        </a:p>
      </xdr:txBody>
    </xdr:sp>
    <xdr:clientData/>
  </xdr:twoCellAnchor>
  <xdr:twoCellAnchor>
    <xdr:from>
      <xdr:col>1</xdr:col>
      <xdr:colOff>355398</xdr:colOff>
      <xdr:row>3</xdr:row>
      <xdr:rowOff>392230</xdr:rowOff>
    </xdr:from>
    <xdr:to>
      <xdr:col>2</xdr:col>
      <xdr:colOff>55812</xdr:colOff>
      <xdr:row>4</xdr:row>
      <xdr:rowOff>238025</xdr:rowOff>
    </xdr:to>
    <xdr:pic>
      <xdr:nvPicPr>
        <xdr:cNvPr id="45" name="Gráfico 44" descr="Lupa con relleno sólido">
          <a:extLst>
            <a:ext uri="{FF2B5EF4-FFF2-40B4-BE49-F238E27FC236}">
              <a16:creationId xmlns:a16="http://schemas.microsoft.com/office/drawing/2014/main" id="{A06FDF77-7F26-4D7F-B520-019A2F99F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440622" y="1289585"/>
          <a:ext cx="281940" cy="281940"/>
        </a:xfrm>
        <a:prstGeom prst="rect">
          <a:avLst/>
        </a:prstGeom>
      </xdr:spPr>
    </xdr:pic>
    <xdr:clientData/>
  </xdr:twoCellAnchor>
  <xdr:twoCellAnchor>
    <xdr:from>
      <xdr:col>1</xdr:col>
      <xdr:colOff>160215</xdr:colOff>
      <xdr:row>18</xdr:row>
      <xdr:rowOff>134327</xdr:rowOff>
    </xdr:from>
    <xdr:to>
      <xdr:col>2</xdr:col>
      <xdr:colOff>261317</xdr:colOff>
      <xdr:row>21</xdr:row>
      <xdr:rowOff>82453</xdr:rowOff>
    </xdr:to>
    <xdr:sp macro="" textlink="">
      <xdr:nvSpPr>
        <xdr:cNvPr id="55" name="Rectángulo: esquinas redondeadas 5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070A683-1E99-49BD-8E94-0CBA5C64404F}"/>
            </a:ext>
          </a:extLst>
        </xdr:cNvPr>
        <xdr:cNvSpPr/>
      </xdr:nvSpPr>
      <xdr:spPr>
        <a:xfrm>
          <a:off x="245696" y="4884615"/>
          <a:ext cx="687256" cy="680819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DE VENTA</a:t>
          </a:r>
        </a:p>
      </xdr:txBody>
    </xdr:sp>
    <xdr:clientData/>
  </xdr:twoCellAnchor>
  <xdr:twoCellAnchor>
    <xdr:from>
      <xdr:col>1</xdr:col>
      <xdr:colOff>166938</xdr:colOff>
      <xdr:row>21</xdr:row>
      <xdr:rowOff>194217</xdr:rowOff>
    </xdr:from>
    <xdr:to>
      <xdr:col>2</xdr:col>
      <xdr:colOff>261317</xdr:colOff>
      <xdr:row>24</xdr:row>
      <xdr:rowOff>150659</xdr:rowOff>
    </xdr:to>
    <xdr:sp macro="" textlink="">
      <xdr:nvSpPr>
        <xdr:cNvPr id="56" name="Rectángulo: esquinas redondeadas 5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F3A62BC-0871-4166-A413-26A12577793F}"/>
            </a:ext>
          </a:extLst>
        </xdr:cNvPr>
        <xdr:cNvSpPr/>
      </xdr:nvSpPr>
      <xdr:spPr>
        <a:xfrm>
          <a:off x="252419" y="5677198"/>
          <a:ext cx="680533" cy="689134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166687</xdr:colOff>
      <xdr:row>25</xdr:row>
      <xdr:rowOff>23813</xdr:rowOff>
    </xdr:from>
    <xdr:to>
      <xdr:col>2</xdr:col>
      <xdr:colOff>260349</xdr:colOff>
      <xdr:row>27</xdr:row>
      <xdr:rowOff>209153</xdr:rowOff>
    </xdr:to>
    <xdr:sp macro="" textlink="">
      <xdr:nvSpPr>
        <xdr:cNvPr id="4" name="Rectángulo: esquinas redondeadas 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C80F7B4-00CB-457F-BBDF-1BAC0FDD114F}"/>
            </a:ext>
          </a:extLst>
        </xdr:cNvPr>
        <xdr:cNvSpPr/>
      </xdr:nvSpPr>
      <xdr:spPr>
        <a:xfrm>
          <a:off x="250031" y="6607969"/>
          <a:ext cx="677068" cy="685403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1</xdr:col>
      <xdr:colOff>156440</xdr:colOff>
      <xdr:row>28</xdr:row>
      <xdr:rowOff>70622</xdr:rowOff>
    </xdr:from>
    <xdr:to>
      <xdr:col>2</xdr:col>
      <xdr:colOff>248427</xdr:colOff>
      <xdr:row>30</xdr:row>
      <xdr:rowOff>240945</xdr:rowOff>
    </xdr:to>
    <xdr:sp macro="" textlink="">
      <xdr:nvSpPr>
        <xdr:cNvPr id="5" name="Rectángulo: esquinas redondeadas 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54A0F271-403A-47CA-8791-3B560708D21D}"/>
            </a:ext>
          </a:extLst>
        </xdr:cNvPr>
        <xdr:cNvSpPr/>
      </xdr:nvSpPr>
      <xdr:spPr>
        <a:xfrm>
          <a:off x="239784" y="7404872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  <xdr:twoCellAnchor>
    <xdr:from>
      <xdr:col>1</xdr:col>
      <xdr:colOff>168346</xdr:colOff>
      <xdr:row>28</xdr:row>
      <xdr:rowOff>70624</xdr:rowOff>
    </xdr:from>
    <xdr:to>
      <xdr:col>2</xdr:col>
      <xdr:colOff>260333</xdr:colOff>
      <xdr:row>30</xdr:row>
      <xdr:rowOff>240947</xdr:rowOff>
    </xdr:to>
    <xdr:sp macro="" textlink="">
      <xdr:nvSpPr>
        <xdr:cNvPr id="7" name="Rectángulo: esquinas redondeadas 6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1E0AE2DF-4596-4416-9227-8F79D905B348}"/>
            </a:ext>
          </a:extLst>
        </xdr:cNvPr>
        <xdr:cNvSpPr/>
      </xdr:nvSpPr>
      <xdr:spPr>
        <a:xfrm>
          <a:off x="251690" y="7404874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180976</xdr:rowOff>
    </xdr:from>
    <xdr:to>
      <xdr:col>2</xdr:col>
      <xdr:colOff>141754</xdr:colOff>
      <xdr:row>31</xdr:row>
      <xdr:rowOff>179918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8DAE9AD-A08D-49A2-B456-33B66235C6FA}"/>
            </a:ext>
          </a:extLst>
        </xdr:cNvPr>
        <xdr:cNvSpPr/>
      </xdr:nvSpPr>
      <xdr:spPr>
        <a:xfrm>
          <a:off x="114300" y="180976"/>
          <a:ext cx="863537" cy="7841192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171450</xdr:colOff>
      <xdr:row>1</xdr:row>
      <xdr:rowOff>38101</xdr:rowOff>
    </xdr:from>
    <xdr:to>
      <xdr:col>12</xdr:col>
      <xdr:colOff>361950</xdr:colOff>
      <xdr:row>6</xdr:row>
      <xdr:rowOff>161925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F8B3E89B-B717-4BE5-BA61-31DBFA85D345}"/>
            </a:ext>
          </a:extLst>
        </xdr:cNvPr>
        <xdr:cNvSpPr/>
      </xdr:nvSpPr>
      <xdr:spPr>
        <a:xfrm>
          <a:off x="8020050" y="228601"/>
          <a:ext cx="3514725" cy="1676399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238124</xdr:colOff>
      <xdr:row>1</xdr:row>
      <xdr:rowOff>85725</xdr:rowOff>
    </xdr:from>
    <xdr:to>
      <xdr:col>12</xdr:col>
      <xdr:colOff>147108</xdr:colOff>
      <xdr:row>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206747</xdr:colOff>
      <xdr:row>1</xdr:row>
      <xdr:rowOff>76200</xdr:rowOff>
    </xdr:from>
    <xdr:to>
      <xdr:col>2</xdr:col>
      <xdr:colOff>28013</xdr:colOff>
      <xdr:row>3</xdr:row>
      <xdr:rowOff>43702</xdr:rowOff>
    </xdr:to>
    <xdr:grpSp>
      <xdr:nvGrpSpPr>
        <xdr:cNvPr id="5" name="Grup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A1BD8E-6A63-431B-AED5-EBFEB0444E3C}"/>
            </a:ext>
          </a:extLst>
        </xdr:cNvPr>
        <xdr:cNvGrpSpPr/>
      </xdr:nvGrpSpPr>
      <xdr:grpSpPr>
        <a:xfrm>
          <a:off x="206747" y="266700"/>
          <a:ext cx="649941" cy="672352"/>
          <a:chOff x="427899" y="446598"/>
          <a:chExt cx="650642" cy="674803"/>
        </a:xfrm>
      </xdr:grpSpPr>
      <xdr:sp macro="" textlink="">
        <xdr:nvSpPr>
          <xdr:cNvPr id="6" name="Rectángulo: esquinas redondeadas 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7117485D-C6C6-887A-9B8A-5A93BFAC37CF}"/>
              </a:ext>
            </a:extLst>
          </xdr:cNvPr>
          <xdr:cNvSpPr/>
        </xdr:nvSpPr>
        <xdr:spPr>
          <a:xfrm>
            <a:off x="427899" y="446598"/>
            <a:ext cx="650642" cy="674803"/>
          </a:xfrm>
          <a:prstGeom prst="roundRect">
            <a:avLst/>
          </a:prstGeom>
          <a:solidFill>
            <a:srgbClr val="001D39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Inicio</a:t>
            </a:r>
          </a:p>
          <a:p>
            <a:pPr algn="ctr"/>
            <a:endParaRPr lang="es-PE" sz="1200" b="1"/>
          </a:p>
        </xdr:txBody>
      </xdr:sp>
      <xdr:pic>
        <xdr:nvPicPr>
          <xdr:cNvPr id="7" name="Gráfico 6" descr="Hogar contorno">
            <a:extLst>
              <a:ext uri="{FF2B5EF4-FFF2-40B4-BE49-F238E27FC236}">
                <a16:creationId xmlns:a16="http://schemas.microsoft.com/office/drawing/2014/main" id="{7A137541-B45A-FEB2-3051-50E639BBDD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619971" y="736506"/>
            <a:ext cx="268035" cy="27013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208989</xdr:colOff>
      <xdr:row>6</xdr:row>
      <xdr:rowOff>53719</xdr:rowOff>
    </xdr:from>
    <xdr:to>
      <xdr:col>2</xdr:col>
      <xdr:colOff>30255</xdr:colOff>
      <xdr:row>8</xdr:row>
      <xdr:rowOff>230771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4FF48E6D-7026-4DE2-9A38-006AFA967536}"/>
            </a:ext>
          </a:extLst>
        </xdr:cNvPr>
        <xdr:cNvGrpSpPr/>
      </xdr:nvGrpSpPr>
      <xdr:grpSpPr>
        <a:xfrm>
          <a:off x="208989" y="1796794"/>
          <a:ext cx="649941" cy="672352"/>
          <a:chOff x="430141" y="1986147"/>
          <a:chExt cx="650642" cy="682857"/>
        </a:xfrm>
      </xdr:grpSpPr>
      <xdr:sp macro="" textlink="">
        <xdr:nvSpPr>
          <xdr:cNvPr id="12" name="Rectángulo: esquinas redondeadas 11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2D6B48C4-14D7-C0E1-F43B-FB5F4CACD4A0}"/>
              </a:ext>
            </a:extLst>
          </xdr:cNvPr>
          <xdr:cNvSpPr/>
        </xdr:nvSpPr>
        <xdr:spPr>
          <a:xfrm>
            <a:off x="430141" y="1986147"/>
            <a:ext cx="650642" cy="682857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13" name="Gráfico 12" descr="Búsqueda de carpetas contorno">
            <a:extLst>
              <a:ext uri="{FF2B5EF4-FFF2-40B4-BE49-F238E27FC236}">
                <a16:creationId xmlns:a16="http://schemas.microsoft.com/office/drawing/2014/main" id="{6A9D28BB-38F5-AB06-B9F7-2A17ABF2ED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204506</xdr:colOff>
      <xdr:row>9</xdr:row>
      <xdr:rowOff>79492</xdr:rowOff>
    </xdr:from>
    <xdr:to>
      <xdr:col>2</xdr:col>
      <xdr:colOff>31913</xdr:colOff>
      <xdr:row>12</xdr:row>
      <xdr:rowOff>8894</xdr:rowOff>
    </xdr:to>
    <xdr:sp macro="" textlink="">
      <xdr:nvSpPr>
        <xdr:cNvPr id="14" name="Rectángulo: esquinas redondeadas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FC4AE23-3F94-4AF2-9347-DE55AC7915FD}"/>
            </a:ext>
          </a:extLst>
        </xdr:cNvPr>
        <xdr:cNvSpPr/>
      </xdr:nvSpPr>
      <xdr:spPr>
        <a:xfrm>
          <a:off x="204506" y="2565517"/>
          <a:ext cx="656082" cy="672352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/>
            <a:t>FACTURA</a:t>
          </a:r>
          <a:r>
            <a:rPr lang="es-PE" sz="700" b="1" baseline="0"/>
            <a:t> COMECIAL </a:t>
          </a:r>
          <a:endParaRPr lang="es-PE" sz="700" b="1"/>
        </a:p>
      </xdr:txBody>
    </xdr:sp>
    <xdr:clientData/>
  </xdr:twoCellAnchor>
  <xdr:twoCellAnchor>
    <xdr:from>
      <xdr:col>0</xdr:col>
      <xdr:colOff>200025</xdr:colOff>
      <xdr:row>12</xdr:row>
      <xdr:rowOff>116471</xdr:rowOff>
    </xdr:from>
    <xdr:to>
      <xdr:col>2</xdr:col>
      <xdr:colOff>38483</xdr:colOff>
      <xdr:row>15</xdr:row>
      <xdr:rowOff>45873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28AB74E-C06E-46C7-B0A9-9E25C44BFE9E}"/>
            </a:ext>
          </a:extLst>
        </xdr:cNvPr>
        <xdr:cNvSpPr/>
      </xdr:nvSpPr>
      <xdr:spPr>
        <a:xfrm>
          <a:off x="200025" y="3345446"/>
          <a:ext cx="667133" cy="672352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>
              <a:solidFill>
                <a:sysClr val="windowText" lastClr="000000"/>
              </a:solidFill>
            </a:rPr>
            <a:t>TRIBUTOS DE ADUANA</a:t>
          </a:r>
        </a:p>
      </xdr:txBody>
    </xdr:sp>
    <xdr:clientData/>
  </xdr:twoCellAnchor>
  <xdr:twoCellAnchor>
    <xdr:from>
      <xdr:col>0</xdr:col>
      <xdr:colOff>206748</xdr:colOff>
      <xdr:row>15</xdr:row>
      <xdr:rowOff>153450</xdr:rowOff>
    </xdr:from>
    <xdr:to>
      <xdr:col>2</xdr:col>
      <xdr:colOff>38483</xdr:colOff>
      <xdr:row>18</xdr:row>
      <xdr:rowOff>82852</xdr:rowOff>
    </xdr:to>
    <xdr:sp macro="" textlink="">
      <xdr:nvSpPr>
        <xdr:cNvPr id="16" name="Rectángulo: esquinas redondeadas 1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ABB0687-1F7E-4EAD-8ABE-07C489C0C4DA}"/>
            </a:ext>
          </a:extLst>
        </xdr:cNvPr>
        <xdr:cNvSpPr/>
      </xdr:nvSpPr>
      <xdr:spPr>
        <a:xfrm>
          <a:off x="206748" y="4125375"/>
          <a:ext cx="660410" cy="672352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600" b="1">
              <a:solidFill>
                <a:sysClr val="windowText" lastClr="000000"/>
              </a:solidFill>
            </a:rPr>
            <a:t>COSTOS 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POR PRODUCTO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180975</xdr:colOff>
      <xdr:row>7</xdr:row>
      <xdr:rowOff>142876</xdr:rowOff>
    </xdr:from>
    <xdr:to>
      <xdr:col>12</xdr:col>
      <xdr:colOff>390525</xdr:colOff>
      <xdr:row>24</xdr:row>
      <xdr:rowOff>219075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73B5E09D-666A-4152-B95F-4ED881844D1C}"/>
            </a:ext>
          </a:extLst>
        </xdr:cNvPr>
        <xdr:cNvSpPr/>
      </xdr:nvSpPr>
      <xdr:spPr>
        <a:xfrm>
          <a:off x="8029575" y="2133601"/>
          <a:ext cx="3533775" cy="4286249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228601</xdr:colOff>
      <xdr:row>7</xdr:row>
      <xdr:rowOff>190499</xdr:rowOff>
    </xdr:from>
    <xdr:to>
      <xdr:col>12</xdr:col>
      <xdr:colOff>299509</xdr:colOff>
      <xdr:row>24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205540</xdr:colOff>
      <xdr:row>3</xdr:row>
      <xdr:rowOff>125329</xdr:rowOff>
    </xdr:from>
    <xdr:to>
      <xdr:col>2</xdr:col>
      <xdr:colOff>23297</xdr:colOff>
      <xdr:row>5</xdr:row>
      <xdr:rowOff>203020</xdr:rowOff>
    </xdr:to>
    <xdr:grpSp>
      <xdr:nvGrpSpPr>
        <xdr:cNvPr id="21" name="Grupo 2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9D0DCC2-B284-66F6-0C74-00C048E8476B}"/>
            </a:ext>
          </a:extLst>
        </xdr:cNvPr>
        <xdr:cNvGrpSpPr/>
      </xdr:nvGrpSpPr>
      <xdr:grpSpPr>
        <a:xfrm>
          <a:off x="205540" y="1020679"/>
          <a:ext cx="646432" cy="677766"/>
          <a:chOff x="205540" y="1026619"/>
          <a:chExt cx="647354" cy="671724"/>
        </a:xfrm>
      </xdr:grpSpPr>
      <xdr:sp macro="" textlink="">
        <xdr:nvSpPr>
          <xdr:cNvPr id="19" name="Rectángulo: esquinas redondeadas 18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91D2BE35-B7F4-4770-98C2-2B7CE5A0C75D}"/>
              </a:ext>
            </a:extLst>
          </xdr:cNvPr>
          <xdr:cNvSpPr/>
        </xdr:nvSpPr>
        <xdr:spPr>
          <a:xfrm>
            <a:off x="205540" y="1026619"/>
            <a:ext cx="647354" cy="671724"/>
          </a:xfrm>
          <a:prstGeom prst="roundRect">
            <a:avLst/>
          </a:prstGeom>
          <a:solidFill>
            <a:srgbClr val="0A4174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480" b="1"/>
              <a:t>INTRODUCCIÓN</a:t>
            </a:r>
          </a:p>
          <a:p>
            <a:pPr algn="ctr"/>
            <a:endParaRPr lang="es-PE" sz="1100" b="1"/>
          </a:p>
        </xdr:txBody>
      </xdr:sp>
      <xdr:pic>
        <xdr:nvPicPr>
          <xdr:cNvPr id="20" name="Gráfico 19" descr="Lupa con relleno sólido">
            <a:extLst>
              <a:ext uri="{FF2B5EF4-FFF2-40B4-BE49-F238E27FC236}">
                <a16:creationId xmlns:a16="http://schemas.microsoft.com/office/drawing/2014/main" id="{8FC6B28B-6198-4EA3-B501-D8F39A0415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380465" y="1305864"/>
            <a:ext cx="280538" cy="28210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196061</xdr:colOff>
      <xdr:row>18</xdr:row>
      <xdr:rowOff>184355</xdr:rowOff>
    </xdr:from>
    <xdr:to>
      <xdr:col>2</xdr:col>
      <xdr:colOff>50272</xdr:colOff>
      <xdr:row>21</xdr:row>
      <xdr:rowOff>134649</xdr:rowOff>
    </xdr:to>
    <xdr:sp macro="" textlink="">
      <xdr:nvSpPr>
        <xdr:cNvPr id="37" name="Rectángulo: esquinas redondeadas 3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2E8FDB5-011D-4457-85BC-A55B70137D7B}"/>
            </a:ext>
          </a:extLst>
        </xdr:cNvPr>
        <xdr:cNvSpPr/>
      </xdr:nvSpPr>
      <xdr:spPr>
        <a:xfrm>
          <a:off x="196061" y="4875161"/>
          <a:ext cx="683808" cy="687714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DE VENTA</a:t>
          </a:r>
        </a:p>
      </xdr:txBody>
    </xdr:sp>
    <xdr:clientData/>
  </xdr:twoCellAnchor>
  <xdr:twoCellAnchor>
    <xdr:from>
      <xdr:col>0</xdr:col>
      <xdr:colOff>202784</xdr:colOff>
      <xdr:row>22</xdr:row>
      <xdr:rowOff>607</xdr:rowOff>
    </xdr:from>
    <xdr:to>
      <xdr:col>2</xdr:col>
      <xdr:colOff>50272</xdr:colOff>
      <xdr:row>24</xdr:row>
      <xdr:rowOff>205024</xdr:rowOff>
    </xdr:to>
    <xdr:sp macro="" textlink="">
      <xdr:nvSpPr>
        <xdr:cNvPr id="38" name="Rectángulo: esquinas redondeadas 3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3ED3DE4-CDD1-44FF-A6DF-F56F9E6FFED8}"/>
            </a:ext>
          </a:extLst>
        </xdr:cNvPr>
        <xdr:cNvSpPr/>
      </xdr:nvSpPr>
      <xdr:spPr>
        <a:xfrm>
          <a:off x="202784" y="5674639"/>
          <a:ext cx="677085" cy="696030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201084</xdr:colOff>
      <xdr:row>25</xdr:row>
      <xdr:rowOff>52917</xdr:rowOff>
    </xdr:from>
    <xdr:to>
      <xdr:col>2</xdr:col>
      <xdr:colOff>42069</xdr:colOff>
      <xdr:row>27</xdr:row>
      <xdr:rowOff>187986</xdr:rowOff>
    </xdr:to>
    <xdr:sp macro="" textlink="">
      <xdr:nvSpPr>
        <xdr:cNvPr id="8" name="Rectángulo: esquinas redondeadas 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B972B28-E90C-4150-83F1-8854106A2A76}"/>
            </a:ext>
          </a:extLst>
        </xdr:cNvPr>
        <xdr:cNvSpPr/>
      </xdr:nvSpPr>
      <xdr:spPr>
        <a:xfrm>
          <a:off x="201084" y="6413500"/>
          <a:ext cx="677068" cy="685403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0</xdr:col>
      <xdr:colOff>202743</xdr:colOff>
      <xdr:row>28</xdr:row>
      <xdr:rowOff>24322</xdr:rowOff>
    </xdr:from>
    <xdr:to>
      <xdr:col>2</xdr:col>
      <xdr:colOff>42053</xdr:colOff>
      <xdr:row>31</xdr:row>
      <xdr:rowOff>38541</xdr:rowOff>
    </xdr:to>
    <xdr:sp macro="" textlink="">
      <xdr:nvSpPr>
        <xdr:cNvPr id="9" name="Rectángulo: esquinas redondeadas 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57D1F6F-0D2E-4E39-9678-473541808B9C}"/>
            </a:ext>
          </a:extLst>
        </xdr:cNvPr>
        <xdr:cNvSpPr/>
      </xdr:nvSpPr>
      <xdr:spPr>
        <a:xfrm>
          <a:off x="202743" y="7210405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206542</xdr:colOff>
      <xdr:row>8</xdr:row>
      <xdr:rowOff>139868</xdr:rowOff>
    </xdr:from>
    <xdr:to>
      <xdr:col>13</xdr:col>
      <xdr:colOff>330367</xdr:colOff>
      <xdr:row>25</xdr:row>
      <xdr:rowOff>20053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3D5E3CF9-E5F7-4362-9B35-F0CC9710E207}"/>
            </a:ext>
          </a:extLst>
        </xdr:cNvPr>
        <xdr:cNvSpPr/>
      </xdr:nvSpPr>
      <xdr:spPr>
        <a:xfrm>
          <a:off x="6753726" y="2225342"/>
          <a:ext cx="3562852" cy="4021053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73270</xdr:colOff>
      <xdr:row>1</xdr:row>
      <xdr:rowOff>7328</xdr:rowOff>
    </xdr:from>
    <xdr:to>
      <xdr:col>3</xdr:col>
      <xdr:colOff>144987</xdr:colOff>
      <xdr:row>17</xdr:row>
      <xdr:rowOff>44824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C95EA35D-5C36-4646-BADC-2EB623FB67B5}"/>
            </a:ext>
          </a:extLst>
        </xdr:cNvPr>
        <xdr:cNvSpPr/>
      </xdr:nvSpPr>
      <xdr:spPr>
        <a:xfrm>
          <a:off x="230152" y="197828"/>
          <a:ext cx="856129" cy="4082820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219075</xdr:colOff>
      <xdr:row>1</xdr:row>
      <xdr:rowOff>9526</xdr:rowOff>
    </xdr:from>
    <xdr:to>
      <xdr:col>13</xdr:col>
      <xdr:colOff>342900</xdr:colOff>
      <xdr:row>7</xdr:row>
      <xdr:rowOff>161925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90831984-3B37-4751-BBC4-AA479176CE26}"/>
            </a:ext>
          </a:extLst>
        </xdr:cNvPr>
        <xdr:cNvSpPr/>
      </xdr:nvSpPr>
      <xdr:spPr>
        <a:xfrm>
          <a:off x="6743700" y="200026"/>
          <a:ext cx="3552825" cy="1790699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8</xdr:col>
      <xdr:colOff>9525</xdr:colOff>
      <xdr:row>0</xdr:row>
      <xdr:rowOff>161925</xdr:rowOff>
    </xdr:from>
    <xdr:to>
      <xdr:col>13</xdr:col>
      <xdr:colOff>266701</xdr:colOff>
      <xdr:row>7</xdr:row>
      <xdr:rowOff>161925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6A0EE4B-BAC0-A186-6EBC-892709CD6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114300</xdr:colOff>
      <xdr:row>8</xdr:row>
      <xdr:rowOff>200025</xdr:rowOff>
    </xdr:from>
    <xdr:to>
      <xdr:col>13</xdr:col>
      <xdr:colOff>314325</xdr:colOff>
      <xdr:row>24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C08E043-0E9C-58DA-61EE-CFC74577E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163606</xdr:colOff>
      <xdr:row>1</xdr:row>
      <xdr:rowOff>168090</xdr:rowOff>
    </xdr:from>
    <xdr:to>
      <xdr:col>3</xdr:col>
      <xdr:colOff>29135</xdr:colOff>
      <xdr:row>3</xdr:row>
      <xdr:rowOff>134471</xdr:rowOff>
    </xdr:to>
    <xdr:grpSp>
      <xdr:nvGrpSpPr>
        <xdr:cNvPr id="8" name="Grup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ABFE1E-B409-41B6-81C4-8FEF97F33099}"/>
            </a:ext>
          </a:extLst>
        </xdr:cNvPr>
        <xdr:cNvGrpSpPr/>
      </xdr:nvGrpSpPr>
      <xdr:grpSpPr>
        <a:xfrm>
          <a:off x="318905" y="354449"/>
          <a:ext cx="652377" cy="670402"/>
          <a:chOff x="427899" y="446598"/>
          <a:chExt cx="650642" cy="674803"/>
        </a:xfrm>
      </xdr:grpSpPr>
      <xdr:sp macro="" textlink="">
        <xdr:nvSpPr>
          <xdr:cNvPr id="9" name="Rectángulo: esquinas redondeadas 8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D18714CB-3B35-4F9B-3C41-99B421EB652F}"/>
              </a:ext>
            </a:extLst>
          </xdr:cNvPr>
          <xdr:cNvSpPr/>
        </xdr:nvSpPr>
        <xdr:spPr>
          <a:xfrm>
            <a:off x="427899" y="446598"/>
            <a:ext cx="650642" cy="674803"/>
          </a:xfrm>
          <a:prstGeom prst="roundRect">
            <a:avLst/>
          </a:prstGeom>
          <a:solidFill>
            <a:srgbClr val="001D39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Inicio</a:t>
            </a:r>
          </a:p>
          <a:p>
            <a:pPr algn="ctr"/>
            <a:endParaRPr lang="es-PE" sz="1200" b="1"/>
          </a:p>
        </xdr:txBody>
      </xdr:sp>
      <xdr:pic>
        <xdr:nvPicPr>
          <xdr:cNvPr id="10" name="Gráfico 9" descr="Hogar contorno">
            <a:extLst>
              <a:ext uri="{FF2B5EF4-FFF2-40B4-BE49-F238E27FC236}">
                <a16:creationId xmlns:a16="http://schemas.microsoft.com/office/drawing/2014/main" id="{1CD232E4-269D-EC62-985B-8646A9CC56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619971" y="736506"/>
            <a:ext cx="268035" cy="27013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165848</xdr:colOff>
      <xdr:row>7</xdr:row>
      <xdr:rowOff>62125</xdr:rowOff>
    </xdr:from>
    <xdr:to>
      <xdr:col>3</xdr:col>
      <xdr:colOff>31377</xdr:colOff>
      <xdr:row>9</xdr:row>
      <xdr:rowOff>241418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147EDADB-F83B-4506-8796-8441A9815CEA}"/>
            </a:ext>
          </a:extLst>
        </xdr:cNvPr>
        <xdr:cNvGrpSpPr/>
      </xdr:nvGrpSpPr>
      <xdr:grpSpPr>
        <a:xfrm>
          <a:off x="321147" y="1884299"/>
          <a:ext cx="652377" cy="676249"/>
          <a:chOff x="430141" y="1986147"/>
          <a:chExt cx="650642" cy="682857"/>
        </a:xfrm>
      </xdr:grpSpPr>
      <xdr:sp macro="" textlink="">
        <xdr:nvSpPr>
          <xdr:cNvPr id="15" name="Rectángulo: esquinas redondeadas 14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33B26FAC-A6F6-164F-4933-A802BF0AC54E}"/>
              </a:ext>
            </a:extLst>
          </xdr:cNvPr>
          <xdr:cNvSpPr/>
        </xdr:nvSpPr>
        <xdr:spPr>
          <a:xfrm>
            <a:off x="430141" y="1986147"/>
            <a:ext cx="650642" cy="682857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16" name="Gráfico 15" descr="Búsqueda de carpetas contorno">
            <a:extLst>
              <a:ext uri="{FF2B5EF4-FFF2-40B4-BE49-F238E27FC236}">
                <a16:creationId xmlns:a16="http://schemas.microsoft.com/office/drawing/2014/main" id="{2790EC0F-2B29-5B3B-7057-54EF81672C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161365</xdr:colOff>
      <xdr:row>10</xdr:row>
      <xdr:rowOff>91260</xdr:rowOff>
    </xdr:from>
    <xdr:to>
      <xdr:col>3</xdr:col>
      <xdr:colOff>33035</xdr:colOff>
      <xdr:row>13</xdr:row>
      <xdr:rowOff>24024</xdr:rowOff>
    </xdr:to>
    <xdr:sp macro="" textlink="">
      <xdr:nvSpPr>
        <xdr:cNvPr id="17" name="Rectángulo: esquinas redondeadas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E4A1F86-111E-4089-9D90-04CCE99B5347}"/>
            </a:ext>
          </a:extLst>
        </xdr:cNvPr>
        <xdr:cNvSpPr/>
      </xdr:nvSpPr>
      <xdr:spPr>
        <a:xfrm>
          <a:off x="161365" y="2657407"/>
          <a:ext cx="656082" cy="672352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/>
            <a:t>FACTURA</a:t>
          </a:r>
          <a:r>
            <a:rPr lang="es-PE" sz="700" b="1" baseline="0"/>
            <a:t> COMECIAL </a:t>
          </a:r>
          <a:endParaRPr lang="es-PE" sz="700" b="1"/>
        </a:p>
      </xdr:txBody>
    </xdr:sp>
    <xdr:clientData/>
  </xdr:twoCellAnchor>
  <xdr:twoCellAnchor>
    <xdr:from>
      <xdr:col>1</xdr:col>
      <xdr:colOff>156884</xdr:colOff>
      <xdr:row>13</xdr:row>
      <xdr:rowOff>131601</xdr:rowOff>
    </xdr:from>
    <xdr:to>
      <xdr:col>3</xdr:col>
      <xdr:colOff>39605</xdr:colOff>
      <xdr:row>16</xdr:row>
      <xdr:rowOff>120394</xdr:rowOff>
    </xdr:to>
    <xdr:sp macro="" textlink="">
      <xdr:nvSpPr>
        <xdr:cNvPr id="18" name="Rectángulo: esquinas redondeadas 1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B2AF746-00C1-48A5-918F-58D1D0239602}"/>
            </a:ext>
          </a:extLst>
        </xdr:cNvPr>
        <xdr:cNvSpPr/>
      </xdr:nvSpPr>
      <xdr:spPr>
        <a:xfrm>
          <a:off x="156884" y="3437336"/>
          <a:ext cx="667133" cy="672352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GASTOS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 DE 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IMORT</a:t>
          </a:r>
        </a:p>
      </xdr:txBody>
    </xdr:sp>
    <xdr:clientData/>
  </xdr:twoCellAnchor>
  <xdr:twoCellAnchor>
    <xdr:from>
      <xdr:col>1</xdr:col>
      <xdr:colOff>168519</xdr:colOff>
      <xdr:row>4</xdr:row>
      <xdr:rowOff>32393</xdr:rowOff>
    </xdr:from>
    <xdr:to>
      <xdr:col>3</xdr:col>
      <xdr:colOff>26381</xdr:colOff>
      <xdr:row>6</xdr:row>
      <xdr:rowOff>215360</xdr:rowOff>
    </xdr:to>
    <xdr:grpSp>
      <xdr:nvGrpSpPr>
        <xdr:cNvPr id="24" name="Grupo 2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18B2852-57AD-13D6-D605-28E9148F4A4C}"/>
            </a:ext>
          </a:extLst>
        </xdr:cNvPr>
        <xdr:cNvGrpSpPr/>
      </xdr:nvGrpSpPr>
      <xdr:grpSpPr>
        <a:xfrm>
          <a:off x="323818" y="1109132"/>
          <a:ext cx="644710" cy="679924"/>
          <a:chOff x="318914" y="1115235"/>
          <a:chExt cx="649941" cy="684283"/>
        </a:xfrm>
      </xdr:grpSpPr>
      <xdr:sp macro="" textlink="">
        <xdr:nvSpPr>
          <xdr:cNvPr id="22" name="Rectángulo: esquinas redondeadas 21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5AA0EB63-41B9-4BA4-89E1-0ED32F0E6BE4}"/>
              </a:ext>
            </a:extLst>
          </xdr:cNvPr>
          <xdr:cNvSpPr/>
        </xdr:nvSpPr>
        <xdr:spPr>
          <a:xfrm>
            <a:off x="318914" y="1115235"/>
            <a:ext cx="649941" cy="684283"/>
          </a:xfrm>
          <a:prstGeom prst="roundRect">
            <a:avLst/>
          </a:prstGeom>
          <a:solidFill>
            <a:srgbClr val="0A4174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480" b="1"/>
              <a:t>INTRODUCCIÓN</a:t>
            </a:r>
          </a:p>
          <a:p>
            <a:pPr algn="ctr"/>
            <a:endParaRPr lang="es-PE" sz="1100" b="1"/>
          </a:p>
        </xdr:txBody>
      </xdr:sp>
      <xdr:pic>
        <xdr:nvPicPr>
          <xdr:cNvPr id="23" name="Gráfico 22" descr="Lupa con relleno sólido">
            <a:extLst>
              <a:ext uri="{FF2B5EF4-FFF2-40B4-BE49-F238E27FC236}">
                <a16:creationId xmlns:a16="http://schemas.microsoft.com/office/drawing/2014/main" id="{D617F656-B171-4C4C-ADCD-816C0BF4E1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493839" y="1402188"/>
            <a:ext cx="281940" cy="286953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50858</xdr:colOff>
      <xdr:row>0</xdr:row>
      <xdr:rowOff>153003</xdr:rowOff>
    </xdr:from>
    <xdr:to>
      <xdr:col>15</xdr:col>
      <xdr:colOff>324281</xdr:colOff>
      <xdr:row>17</xdr:row>
      <xdr:rowOff>33617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DA6EF187-CA03-4E25-8A91-CC5D7389C059}"/>
            </a:ext>
          </a:extLst>
        </xdr:cNvPr>
        <xdr:cNvSpPr/>
      </xdr:nvSpPr>
      <xdr:spPr>
        <a:xfrm>
          <a:off x="10618005" y="153003"/>
          <a:ext cx="856129" cy="4116438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14</xdr:col>
      <xdr:colOff>118241</xdr:colOff>
      <xdr:row>3</xdr:row>
      <xdr:rowOff>189320</xdr:rowOff>
    </xdr:from>
    <xdr:to>
      <xdr:col>15</xdr:col>
      <xdr:colOff>211676</xdr:colOff>
      <xdr:row>6</xdr:row>
      <xdr:rowOff>185220</xdr:rowOff>
    </xdr:to>
    <xdr:sp macro="" textlink="">
      <xdr:nvSpPr>
        <xdr:cNvPr id="28" name="Rectángulo: esquinas redondeadas 2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FD727F1-A4BA-4ED9-B8EB-C67EA86493AC}"/>
            </a:ext>
          </a:extLst>
        </xdr:cNvPr>
        <xdr:cNvSpPr/>
      </xdr:nvSpPr>
      <xdr:spPr>
        <a:xfrm>
          <a:off x="10685388" y="1085791"/>
          <a:ext cx="676141" cy="679458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DE VENTA</a:t>
          </a:r>
        </a:p>
      </xdr:txBody>
    </xdr:sp>
    <xdr:clientData/>
  </xdr:twoCellAnchor>
  <xdr:twoCellAnchor>
    <xdr:from>
      <xdr:col>14</xdr:col>
      <xdr:colOff>124964</xdr:colOff>
      <xdr:row>7</xdr:row>
      <xdr:rowOff>20376</xdr:rowOff>
    </xdr:from>
    <xdr:to>
      <xdr:col>15</xdr:col>
      <xdr:colOff>211676</xdr:colOff>
      <xdr:row>9</xdr:row>
      <xdr:rowOff>215089</xdr:rowOff>
    </xdr:to>
    <xdr:sp macro="" textlink="">
      <xdr:nvSpPr>
        <xdr:cNvPr id="29" name="Rectángulo: esquinas redondeadas 2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FBD45E3-578E-46A0-A788-D835ADCFBACF}"/>
            </a:ext>
          </a:extLst>
        </xdr:cNvPr>
        <xdr:cNvSpPr/>
      </xdr:nvSpPr>
      <xdr:spPr>
        <a:xfrm>
          <a:off x="10692111" y="1846935"/>
          <a:ext cx="669418" cy="687772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123265</xdr:colOff>
      <xdr:row>10</xdr:row>
      <xdr:rowOff>67235</xdr:rowOff>
    </xdr:from>
    <xdr:to>
      <xdr:col>15</xdr:col>
      <xdr:colOff>217627</xdr:colOff>
      <xdr:row>13</xdr:row>
      <xdr:rowOff>13050</xdr:rowOff>
    </xdr:to>
    <xdr:sp macro="" textlink="">
      <xdr:nvSpPr>
        <xdr:cNvPr id="4" name="Rectángulo: esquinas redondeadas 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9BE0336-A236-4316-9561-304589096017}"/>
            </a:ext>
          </a:extLst>
        </xdr:cNvPr>
        <xdr:cNvSpPr/>
      </xdr:nvSpPr>
      <xdr:spPr>
        <a:xfrm>
          <a:off x="10690412" y="2633382"/>
          <a:ext cx="677068" cy="685403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14</xdr:col>
      <xdr:colOff>136130</xdr:colOff>
      <xdr:row>13</xdr:row>
      <xdr:rowOff>102140</xdr:rowOff>
    </xdr:from>
    <xdr:to>
      <xdr:col>15</xdr:col>
      <xdr:colOff>228817</xdr:colOff>
      <xdr:row>16</xdr:row>
      <xdr:rowOff>88967</xdr:rowOff>
    </xdr:to>
    <xdr:sp macro="" textlink="">
      <xdr:nvSpPr>
        <xdr:cNvPr id="5" name="Rectángulo: esquinas redondeadas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4B62812F-0DEC-4E23-80DA-BB42DFDC0B77}"/>
            </a:ext>
          </a:extLst>
        </xdr:cNvPr>
        <xdr:cNvSpPr/>
      </xdr:nvSpPr>
      <xdr:spPr>
        <a:xfrm>
          <a:off x="10703277" y="3407875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  <xdr:twoCellAnchor>
    <xdr:from>
      <xdr:col>14</xdr:col>
      <xdr:colOff>129989</xdr:colOff>
      <xdr:row>1</xdr:row>
      <xdr:rowOff>127118</xdr:rowOff>
    </xdr:from>
    <xdr:to>
      <xdr:col>15</xdr:col>
      <xdr:colOff>207693</xdr:colOff>
      <xdr:row>3</xdr:row>
      <xdr:rowOff>93499</xdr:rowOff>
    </xdr:to>
    <xdr:sp macro="" textlink="">
      <xdr:nvSpPr>
        <xdr:cNvPr id="19" name="Rectángulo: esquinas redondeadas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5E33D6F7-87A5-464F-A587-0FE5E9283961}"/>
            </a:ext>
          </a:extLst>
        </xdr:cNvPr>
        <xdr:cNvSpPr/>
      </xdr:nvSpPr>
      <xdr:spPr>
        <a:xfrm>
          <a:off x="10697136" y="317618"/>
          <a:ext cx="660410" cy="672352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600" b="1">
              <a:solidFill>
                <a:sysClr val="windowText" lastClr="000000"/>
              </a:solidFill>
            </a:rPr>
            <a:t>COSTOS 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POR PRODUCTO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28575</xdr:rowOff>
    </xdr:from>
    <xdr:to>
      <xdr:col>2</xdr:col>
      <xdr:colOff>149421</xdr:colOff>
      <xdr:row>31</xdr:row>
      <xdr:rowOff>66262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B55B7B09-5970-46C3-BC22-A00935A48066}"/>
            </a:ext>
          </a:extLst>
        </xdr:cNvPr>
        <xdr:cNvSpPr/>
      </xdr:nvSpPr>
      <xdr:spPr>
        <a:xfrm>
          <a:off x="161925" y="219075"/>
          <a:ext cx="865453" cy="7997274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238044</xdr:colOff>
      <xdr:row>1</xdr:row>
      <xdr:rowOff>163286</xdr:rowOff>
    </xdr:from>
    <xdr:to>
      <xdr:col>2</xdr:col>
      <xdr:colOff>28877</xdr:colOff>
      <xdr:row>3</xdr:row>
      <xdr:rowOff>125299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C288C2-3B66-48C0-9B49-AD55E7528D56}"/>
            </a:ext>
          </a:extLst>
        </xdr:cNvPr>
        <xdr:cNvGrpSpPr/>
      </xdr:nvGrpSpPr>
      <xdr:grpSpPr>
        <a:xfrm>
          <a:off x="238044" y="353786"/>
          <a:ext cx="664892" cy="667984"/>
          <a:chOff x="427899" y="446598"/>
          <a:chExt cx="650642" cy="674803"/>
        </a:xfrm>
      </xdr:grpSpPr>
      <xdr:sp macro="" textlink="">
        <xdr:nvSpPr>
          <xdr:cNvPr id="3" name="Rectángulo: esquinas redondeadas 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9FBC2652-0B65-2E25-7452-00EE65470341}"/>
              </a:ext>
            </a:extLst>
          </xdr:cNvPr>
          <xdr:cNvSpPr/>
        </xdr:nvSpPr>
        <xdr:spPr>
          <a:xfrm>
            <a:off x="427899" y="446598"/>
            <a:ext cx="650642" cy="674803"/>
          </a:xfrm>
          <a:prstGeom prst="roundRect">
            <a:avLst/>
          </a:prstGeom>
          <a:solidFill>
            <a:srgbClr val="001D39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Inicio</a:t>
            </a:r>
          </a:p>
          <a:p>
            <a:pPr algn="ctr"/>
            <a:endParaRPr lang="es-PE" sz="1200" b="1"/>
          </a:p>
        </xdr:txBody>
      </xdr:sp>
      <xdr:pic>
        <xdr:nvPicPr>
          <xdr:cNvPr id="4" name="Gráfico 3" descr="Hogar contorno">
            <a:extLst>
              <a:ext uri="{FF2B5EF4-FFF2-40B4-BE49-F238E27FC236}">
                <a16:creationId xmlns:a16="http://schemas.microsoft.com/office/drawing/2014/main" id="{8B907BD2-4369-66B8-2F70-C73FBFB916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619971" y="736506"/>
            <a:ext cx="268035" cy="27013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240286</xdr:colOff>
      <xdr:row>5</xdr:row>
      <xdr:rowOff>385826</xdr:rowOff>
    </xdr:from>
    <xdr:to>
      <xdr:col>2</xdr:col>
      <xdr:colOff>31119</xdr:colOff>
      <xdr:row>8</xdr:row>
      <xdr:rowOff>135707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2D0F4FC9-4C95-4564-B815-32C03678F839}"/>
            </a:ext>
          </a:extLst>
        </xdr:cNvPr>
        <xdr:cNvGrpSpPr/>
      </xdr:nvGrpSpPr>
      <xdr:grpSpPr>
        <a:xfrm>
          <a:off x="240286" y="1876208"/>
          <a:ext cx="664892" cy="679970"/>
          <a:chOff x="430141" y="1986147"/>
          <a:chExt cx="650642" cy="682857"/>
        </a:xfrm>
      </xdr:grpSpPr>
      <xdr:sp macro="" textlink="">
        <xdr:nvSpPr>
          <xdr:cNvPr id="8" name="Rectángulo: esquinas redondeadas 7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C30F1CBD-C1ED-80F8-1C40-534B3E868F8C}"/>
              </a:ext>
            </a:extLst>
          </xdr:cNvPr>
          <xdr:cNvSpPr/>
        </xdr:nvSpPr>
        <xdr:spPr>
          <a:xfrm>
            <a:off x="430141" y="1986147"/>
            <a:ext cx="650642" cy="682857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9" name="Gráfico 8" descr="Búsqueda de carpetas contorno">
            <a:extLst>
              <a:ext uri="{FF2B5EF4-FFF2-40B4-BE49-F238E27FC236}">
                <a16:creationId xmlns:a16="http://schemas.microsoft.com/office/drawing/2014/main" id="{2CE58CB0-7271-6EE7-14CD-FDD6BE6E49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235803</xdr:colOff>
      <xdr:row>8</xdr:row>
      <xdr:rowOff>233485</xdr:rowOff>
    </xdr:from>
    <xdr:to>
      <xdr:col>2</xdr:col>
      <xdr:colOff>32777</xdr:colOff>
      <xdr:row>11</xdr:row>
      <xdr:rowOff>177994</xdr:rowOff>
    </xdr:to>
    <xdr:sp macro="" textlink="">
      <xdr:nvSpPr>
        <xdr:cNvPr id="10" name="Rectángulo: esquinas redondeada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8776D71-0358-41A6-BE75-96718C642617}"/>
            </a:ext>
          </a:extLst>
        </xdr:cNvPr>
        <xdr:cNvSpPr/>
      </xdr:nvSpPr>
      <xdr:spPr>
        <a:xfrm>
          <a:off x="235803" y="2655556"/>
          <a:ext cx="667831" cy="679295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/>
            <a:t>FACTURA</a:t>
          </a:r>
          <a:r>
            <a:rPr lang="es-PE" sz="700" b="1" baseline="0"/>
            <a:t> COMECIAL </a:t>
          </a:r>
          <a:endParaRPr lang="es-PE" sz="700" b="1"/>
        </a:p>
      </xdr:txBody>
    </xdr:sp>
    <xdr:clientData/>
  </xdr:twoCellAnchor>
  <xdr:twoCellAnchor>
    <xdr:from>
      <xdr:col>0</xdr:col>
      <xdr:colOff>231322</xdr:colOff>
      <xdr:row>12</xdr:row>
      <xdr:rowOff>37920</xdr:rowOff>
    </xdr:from>
    <xdr:to>
      <xdr:col>2</xdr:col>
      <xdr:colOff>39347</xdr:colOff>
      <xdr:row>14</xdr:row>
      <xdr:rowOff>220508</xdr:rowOff>
    </xdr:to>
    <xdr:sp macro="" textlink="">
      <xdr:nvSpPr>
        <xdr:cNvPr id="11" name="Rectángulo: esquinas redondeada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91D2296-24E8-40CD-8EFA-FA3433450CED}"/>
            </a:ext>
          </a:extLst>
        </xdr:cNvPr>
        <xdr:cNvSpPr/>
      </xdr:nvSpPr>
      <xdr:spPr>
        <a:xfrm>
          <a:off x="231322" y="3439706"/>
          <a:ext cx="678882" cy="672445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GASTOS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 DE 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IMORT</a:t>
          </a:r>
        </a:p>
      </xdr:txBody>
    </xdr:sp>
    <xdr:clientData/>
  </xdr:twoCellAnchor>
  <xdr:twoCellAnchor>
    <xdr:from>
      <xdr:col>0</xdr:col>
      <xdr:colOff>238045</xdr:colOff>
      <xdr:row>15</xdr:row>
      <xdr:rowOff>83157</xdr:rowOff>
    </xdr:from>
    <xdr:to>
      <xdr:col>2</xdr:col>
      <xdr:colOff>39347</xdr:colOff>
      <xdr:row>18</xdr:row>
      <xdr:rowOff>24945</xdr:rowOff>
    </xdr:to>
    <xdr:sp macro="" textlink="">
      <xdr:nvSpPr>
        <xdr:cNvPr id="12" name="Rectángulo: esquinas redondeada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284F2BE-C959-4A18-AA8E-9B06D5A5FB90}"/>
            </a:ext>
          </a:extLst>
        </xdr:cNvPr>
        <xdr:cNvSpPr/>
      </xdr:nvSpPr>
      <xdr:spPr>
        <a:xfrm>
          <a:off x="238045" y="4219728"/>
          <a:ext cx="672159" cy="676574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800" b="1">
              <a:solidFill>
                <a:sysClr val="windowText" lastClr="000000"/>
              </a:solidFill>
            </a:rPr>
            <a:t>TRIBUTOS</a:t>
          </a:r>
          <a:r>
            <a:rPr lang="es-PE" sz="800" b="1" baseline="0">
              <a:solidFill>
                <a:sysClr val="windowText" lastClr="000000"/>
              </a:solidFill>
            </a:rPr>
            <a:t> </a:t>
          </a:r>
        </a:p>
        <a:p>
          <a:pPr algn="ctr"/>
          <a:r>
            <a:rPr lang="es-PE" sz="800" b="1" baseline="0">
              <a:solidFill>
                <a:sysClr val="windowText" lastClr="000000"/>
              </a:solidFill>
            </a:rPr>
            <a:t>DE </a:t>
          </a:r>
        </a:p>
        <a:p>
          <a:pPr algn="ctr"/>
          <a:r>
            <a:rPr lang="es-PE" sz="800" b="1" baseline="0">
              <a:solidFill>
                <a:sysClr val="windowText" lastClr="000000"/>
              </a:solidFill>
            </a:rPr>
            <a:t>ADUANA</a:t>
          </a:r>
          <a:endParaRPr lang="es-PE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242957</xdr:colOff>
      <xdr:row>3</xdr:row>
      <xdr:rowOff>213721</xdr:rowOff>
    </xdr:from>
    <xdr:to>
      <xdr:col>2</xdr:col>
      <xdr:colOff>26123</xdr:colOff>
      <xdr:row>5</xdr:row>
      <xdr:rowOff>291124</xdr:rowOff>
    </xdr:to>
    <xdr:grpSp>
      <xdr:nvGrpSpPr>
        <xdr:cNvPr id="13" name="Grupo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3ACA0F5-FD1B-421A-807C-964360EBA219}"/>
            </a:ext>
          </a:extLst>
        </xdr:cNvPr>
        <xdr:cNvGrpSpPr/>
      </xdr:nvGrpSpPr>
      <xdr:grpSpPr>
        <a:xfrm>
          <a:off x="242957" y="1110192"/>
          <a:ext cx="657225" cy="671314"/>
          <a:chOff x="318914" y="1115235"/>
          <a:chExt cx="649941" cy="684283"/>
        </a:xfrm>
      </xdr:grpSpPr>
      <xdr:sp macro="" textlink="">
        <xdr:nvSpPr>
          <xdr:cNvPr id="14" name="Rectángulo: esquinas redondeadas 1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B05B5A37-ADAF-85E4-44C3-559E7D63B37C}"/>
              </a:ext>
            </a:extLst>
          </xdr:cNvPr>
          <xdr:cNvSpPr/>
        </xdr:nvSpPr>
        <xdr:spPr>
          <a:xfrm>
            <a:off x="318914" y="1115235"/>
            <a:ext cx="649941" cy="684283"/>
          </a:xfrm>
          <a:prstGeom prst="roundRect">
            <a:avLst/>
          </a:prstGeom>
          <a:solidFill>
            <a:srgbClr val="0A4174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480" b="1"/>
              <a:t>INTRODUCCIÓN</a:t>
            </a:r>
          </a:p>
          <a:p>
            <a:pPr algn="ctr"/>
            <a:endParaRPr lang="es-PE" sz="1100" b="1"/>
          </a:p>
        </xdr:txBody>
      </xdr:sp>
      <xdr:pic>
        <xdr:nvPicPr>
          <xdr:cNvPr id="15" name="Gráfico 14" descr="Lupa con relleno sólido">
            <a:extLst>
              <a:ext uri="{FF2B5EF4-FFF2-40B4-BE49-F238E27FC236}">
                <a16:creationId xmlns:a16="http://schemas.microsoft.com/office/drawing/2014/main" id="{B5A78A04-7B6B-C706-C083-4DAAB23782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493839" y="1402188"/>
            <a:ext cx="281940" cy="286953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230274</xdr:colOff>
      <xdr:row>1</xdr:row>
      <xdr:rowOff>62802</xdr:rowOff>
    </xdr:from>
    <xdr:to>
      <xdr:col>19</xdr:col>
      <xdr:colOff>418680</xdr:colOff>
      <xdr:row>12</xdr:row>
      <xdr:rowOff>62802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4EAE25E6-87FB-4DAD-A3A0-5FB020FC321C}"/>
            </a:ext>
          </a:extLst>
        </xdr:cNvPr>
        <xdr:cNvSpPr/>
      </xdr:nvSpPr>
      <xdr:spPr>
        <a:xfrm>
          <a:off x="9682005" y="251209"/>
          <a:ext cx="4877637" cy="3255247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11</xdr:col>
      <xdr:colOff>355879</xdr:colOff>
      <xdr:row>1</xdr:row>
      <xdr:rowOff>136070</xdr:rowOff>
    </xdr:from>
    <xdr:to>
      <xdr:col>19</xdr:col>
      <xdr:colOff>303543</xdr:colOff>
      <xdr:row>12</xdr:row>
      <xdr:rowOff>44172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215202</xdr:colOff>
      <xdr:row>12</xdr:row>
      <xdr:rowOff>246604</xdr:rowOff>
    </xdr:from>
    <xdr:to>
      <xdr:col>19</xdr:col>
      <xdr:colOff>403608</xdr:colOff>
      <xdr:row>35</xdr:row>
      <xdr:rowOff>240742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39535FF7-A063-4DAB-9853-CA97A5A5E1D4}"/>
            </a:ext>
          </a:extLst>
        </xdr:cNvPr>
        <xdr:cNvSpPr/>
      </xdr:nvSpPr>
      <xdr:spPr>
        <a:xfrm>
          <a:off x="9666933" y="3690258"/>
          <a:ext cx="4877637" cy="5771940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11</xdr:col>
      <xdr:colOff>303544</xdr:colOff>
      <xdr:row>13</xdr:row>
      <xdr:rowOff>94202</xdr:rowOff>
    </xdr:from>
    <xdr:to>
      <xdr:col>19</xdr:col>
      <xdr:colOff>324478</xdr:colOff>
      <xdr:row>35</xdr:row>
      <xdr:rowOff>73269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225584</xdr:colOff>
      <xdr:row>18</xdr:row>
      <xdr:rowOff>123264</xdr:rowOff>
    </xdr:from>
    <xdr:to>
      <xdr:col>2</xdr:col>
      <xdr:colOff>35333</xdr:colOff>
      <xdr:row>21</xdr:row>
      <xdr:rowOff>71390</xdr:rowOff>
    </xdr:to>
    <xdr:sp macro="" textlink="">
      <xdr:nvSpPr>
        <xdr:cNvPr id="36" name="Rectángulo: esquinas redondeadas 3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DF55F02-AC13-443B-BF1D-BB5829CFD2D7}"/>
            </a:ext>
          </a:extLst>
        </xdr:cNvPr>
        <xdr:cNvSpPr/>
      </xdr:nvSpPr>
      <xdr:spPr>
        <a:xfrm>
          <a:off x="225584" y="5009029"/>
          <a:ext cx="683808" cy="687714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DE VENTA</a:t>
          </a:r>
        </a:p>
      </xdr:txBody>
    </xdr:sp>
    <xdr:clientData/>
  </xdr:twoCellAnchor>
  <xdr:twoCellAnchor>
    <xdr:from>
      <xdr:col>0</xdr:col>
      <xdr:colOff>232307</xdr:colOff>
      <xdr:row>21</xdr:row>
      <xdr:rowOff>153076</xdr:rowOff>
    </xdr:from>
    <xdr:to>
      <xdr:col>2</xdr:col>
      <xdr:colOff>35333</xdr:colOff>
      <xdr:row>24</xdr:row>
      <xdr:rowOff>109518</xdr:rowOff>
    </xdr:to>
    <xdr:sp macro="" textlink="">
      <xdr:nvSpPr>
        <xdr:cNvPr id="37" name="Rectángulo: esquinas redondeadas 3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D886E4C-64E9-4971-BE69-0B9559E40883}"/>
            </a:ext>
          </a:extLst>
        </xdr:cNvPr>
        <xdr:cNvSpPr/>
      </xdr:nvSpPr>
      <xdr:spPr>
        <a:xfrm>
          <a:off x="232307" y="5778429"/>
          <a:ext cx="677085" cy="696030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240196</xdr:colOff>
      <xdr:row>24</xdr:row>
      <xdr:rowOff>198783</xdr:rowOff>
    </xdr:from>
    <xdr:to>
      <xdr:col>2</xdr:col>
      <xdr:colOff>39307</xdr:colOff>
      <xdr:row>27</xdr:row>
      <xdr:rowOff>138751</xdr:rowOff>
    </xdr:to>
    <xdr:sp macro="" textlink="">
      <xdr:nvSpPr>
        <xdr:cNvPr id="23" name="Rectángulo: esquinas redondeadas 2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CABE3CE-94E4-4840-9B73-042D5877992D}"/>
            </a:ext>
          </a:extLst>
        </xdr:cNvPr>
        <xdr:cNvSpPr/>
      </xdr:nvSpPr>
      <xdr:spPr>
        <a:xfrm>
          <a:off x="240196" y="6609522"/>
          <a:ext cx="677068" cy="685403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0</xdr:col>
      <xdr:colOff>253061</xdr:colOff>
      <xdr:row>27</xdr:row>
      <xdr:rowOff>227841</xdr:rowOff>
    </xdr:from>
    <xdr:to>
      <xdr:col>2</xdr:col>
      <xdr:colOff>50497</xdr:colOff>
      <xdr:row>30</xdr:row>
      <xdr:rowOff>152792</xdr:rowOff>
    </xdr:to>
    <xdr:sp macro="" textlink="">
      <xdr:nvSpPr>
        <xdr:cNvPr id="24" name="Rectángulo: esquinas redondeadas 2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2FD3AA6-5BC3-41E7-B841-94357CE40F2E}"/>
            </a:ext>
          </a:extLst>
        </xdr:cNvPr>
        <xdr:cNvSpPr/>
      </xdr:nvSpPr>
      <xdr:spPr>
        <a:xfrm>
          <a:off x="253061" y="7384015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180975</xdr:colOff>
      <xdr:row>1</xdr:row>
      <xdr:rowOff>66675</xdr:rowOff>
    </xdr:from>
    <xdr:to>
      <xdr:col>19</xdr:col>
      <xdr:colOff>382828</xdr:colOff>
      <xdr:row>14</xdr:row>
      <xdr:rowOff>82363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D4A9210-63BB-43EA-B1B2-0DF3CD1D08C0}"/>
            </a:ext>
          </a:extLst>
        </xdr:cNvPr>
        <xdr:cNvSpPr/>
      </xdr:nvSpPr>
      <xdr:spPr>
        <a:xfrm>
          <a:off x="8077200" y="257175"/>
          <a:ext cx="4850053" cy="3216088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11</xdr:col>
      <xdr:colOff>264583</xdr:colOff>
      <xdr:row>1</xdr:row>
      <xdr:rowOff>158750</xdr:rowOff>
    </xdr:from>
    <xdr:to>
      <xdr:col>19</xdr:col>
      <xdr:colOff>328081</xdr:colOff>
      <xdr:row>10</xdr:row>
      <xdr:rowOff>161433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203199</xdr:colOff>
      <xdr:row>15</xdr:row>
      <xdr:rowOff>98425</xdr:rowOff>
    </xdr:from>
    <xdr:to>
      <xdr:col>19</xdr:col>
      <xdr:colOff>405052</xdr:colOff>
      <xdr:row>36</xdr:row>
      <xdr:rowOff>232833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206EB663-6539-49A2-A355-E6F4134457C4}"/>
            </a:ext>
          </a:extLst>
        </xdr:cNvPr>
        <xdr:cNvSpPr/>
      </xdr:nvSpPr>
      <xdr:spPr>
        <a:xfrm>
          <a:off x="8098366" y="3707342"/>
          <a:ext cx="4858519" cy="5246158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11</xdr:col>
      <xdr:colOff>243416</xdr:colOff>
      <xdr:row>16</xdr:row>
      <xdr:rowOff>52915</xdr:rowOff>
    </xdr:from>
    <xdr:to>
      <xdr:col>19</xdr:col>
      <xdr:colOff>338664</xdr:colOff>
      <xdr:row>36</xdr:row>
      <xdr:rowOff>21167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89647</xdr:colOff>
      <xdr:row>1</xdr:row>
      <xdr:rowOff>17318</xdr:rowOff>
    </xdr:from>
    <xdr:to>
      <xdr:col>2</xdr:col>
      <xdr:colOff>145936</xdr:colOff>
      <xdr:row>33</xdr:row>
      <xdr:rowOff>16565</xdr:rowOff>
    </xdr:to>
    <xdr:sp macro="" textlink="">
      <xdr:nvSpPr>
        <xdr:cNvPr id="54" name="Rectángulo: esquinas redondeadas 53">
          <a:extLst>
            <a:ext uri="{FF2B5EF4-FFF2-40B4-BE49-F238E27FC236}">
              <a16:creationId xmlns:a16="http://schemas.microsoft.com/office/drawing/2014/main" id="{E3A67438-4BB8-4BF7-9034-C783C8A4F89E}"/>
            </a:ext>
          </a:extLst>
        </xdr:cNvPr>
        <xdr:cNvSpPr/>
      </xdr:nvSpPr>
      <xdr:spPr>
        <a:xfrm>
          <a:off x="89647" y="207818"/>
          <a:ext cx="851419" cy="7925704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152401</xdr:colOff>
      <xdr:row>1</xdr:row>
      <xdr:rowOff>152029</xdr:rowOff>
    </xdr:from>
    <xdr:to>
      <xdr:col>2</xdr:col>
      <xdr:colOff>25393</xdr:colOff>
      <xdr:row>3</xdr:row>
      <xdr:rowOff>115004</xdr:rowOff>
    </xdr:to>
    <xdr:grpSp>
      <xdr:nvGrpSpPr>
        <xdr:cNvPr id="55" name="Grupo 5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904147-4A26-4D61-A1AB-F89624BE8338}"/>
            </a:ext>
          </a:extLst>
        </xdr:cNvPr>
        <xdr:cNvGrpSpPr/>
      </xdr:nvGrpSpPr>
      <xdr:grpSpPr>
        <a:xfrm>
          <a:off x="152401" y="342529"/>
          <a:ext cx="679816" cy="668946"/>
          <a:chOff x="427899" y="446598"/>
          <a:chExt cx="650642" cy="674803"/>
        </a:xfrm>
      </xdr:grpSpPr>
      <xdr:sp macro="" textlink="">
        <xdr:nvSpPr>
          <xdr:cNvPr id="56" name="Rectángulo: esquinas redondeadas 5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E7FE43AE-5075-DBA9-C407-0FD98D7E87CE}"/>
              </a:ext>
            </a:extLst>
          </xdr:cNvPr>
          <xdr:cNvSpPr/>
        </xdr:nvSpPr>
        <xdr:spPr>
          <a:xfrm>
            <a:off x="427899" y="446598"/>
            <a:ext cx="650642" cy="674803"/>
          </a:xfrm>
          <a:prstGeom prst="roundRect">
            <a:avLst/>
          </a:prstGeom>
          <a:solidFill>
            <a:srgbClr val="001D39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Inicio</a:t>
            </a:r>
          </a:p>
          <a:p>
            <a:pPr algn="ctr"/>
            <a:endParaRPr lang="es-PE" sz="1200" b="1"/>
          </a:p>
        </xdr:txBody>
      </xdr:sp>
      <xdr:pic>
        <xdr:nvPicPr>
          <xdr:cNvPr id="57" name="Gráfico 56" descr="Hogar contorno">
            <a:extLst>
              <a:ext uri="{FF2B5EF4-FFF2-40B4-BE49-F238E27FC236}">
                <a16:creationId xmlns:a16="http://schemas.microsoft.com/office/drawing/2014/main" id="{CD3B9F81-6F06-536F-0AA4-95F71376AE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619971" y="736506"/>
            <a:ext cx="268035" cy="27013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152401</xdr:colOff>
      <xdr:row>6</xdr:row>
      <xdr:rowOff>26498</xdr:rowOff>
    </xdr:from>
    <xdr:to>
      <xdr:col>2</xdr:col>
      <xdr:colOff>27635</xdr:colOff>
      <xdr:row>8</xdr:row>
      <xdr:rowOff>22607</xdr:rowOff>
    </xdr:to>
    <xdr:grpSp>
      <xdr:nvGrpSpPr>
        <xdr:cNvPr id="58" name="Grupo 57">
          <a:extLst>
            <a:ext uri="{FF2B5EF4-FFF2-40B4-BE49-F238E27FC236}">
              <a16:creationId xmlns:a16="http://schemas.microsoft.com/office/drawing/2014/main" id="{0964B194-8FF1-4384-8FC8-58C3578523E7}"/>
            </a:ext>
          </a:extLst>
        </xdr:cNvPr>
        <xdr:cNvGrpSpPr/>
      </xdr:nvGrpSpPr>
      <xdr:grpSpPr>
        <a:xfrm>
          <a:off x="152401" y="2021145"/>
          <a:ext cx="682058" cy="679668"/>
          <a:chOff x="430141" y="1986147"/>
          <a:chExt cx="650642" cy="682857"/>
        </a:xfrm>
      </xdr:grpSpPr>
      <xdr:sp macro="" textlink="">
        <xdr:nvSpPr>
          <xdr:cNvPr id="59" name="Rectángulo: esquinas redondeadas 58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8B9DBB07-172B-EDEA-C95B-19AA32990F4F}"/>
              </a:ext>
            </a:extLst>
          </xdr:cNvPr>
          <xdr:cNvSpPr/>
        </xdr:nvSpPr>
        <xdr:spPr>
          <a:xfrm>
            <a:off x="430141" y="1986147"/>
            <a:ext cx="650642" cy="682857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60" name="Gráfico 59" descr="Búsqueda de carpetas contorno">
            <a:extLst>
              <a:ext uri="{FF2B5EF4-FFF2-40B4-BE49-F238E27FC236}">
                <a16:creationId xmlns:a16="http://schemas.microsoft.com/office/drawing/2014/main" id="{9EBA5989-9857-FE3A-A168-719E8AE94D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152400</xdr:colOff>
      <xdr:row>8</xdr:row>
      <xdr:rowOff>120385</xdr:rowOff>
    </xdr:from>
    <xdr:to>
      <xdr:col>2</xdr:col>
      <xdr:colOff>29292</xdr:colOff>
      <xdr:row>11</xdr:row>
      <xdr:rowOff>62008</xdr:rowOff>
    </xdr:to>
    <xdr:sp macro="" textlink="">
      <xdr:nvSpPr>
        <xdr:cNvPr id="61" name="Rectángulo: esquinas redondeadas 6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1878890-EF4F-488B-BA98-12963994016A}"/>
            </a:ext>
          </a:extLst>
        </xdr:cNvPr>
        <xdr:cNvSpPr/>
      </xdr:nvSpPr>
      <xdr:spPr>
        <a:xfrm>
          <a:off x="152400" y="2670154"/>
          <a:ext cx="682854" cy="688969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/>
            <a:t>FACTURA</a:t>
          </a:r>
          <a:r>
            <a:rPr lang="es-PE" sz="700" b="1" baseline="0"/>
            <a:t> COMECIAL </a:t>
          </a:r>
          <a:endParaRPr lang="es-PE" sz="700" b="1"/>
        </a:p>
      </xdr:txBody>
    </xdr:sp>
    <xdr:clientData/>
  </xdr:twoCellAnchor>
  <xdr:twoCellAnchor>
    <xdr:from>
      <xdr:col>0</xdr:col>
      <xdr:colOff>152400</xdr:colOff>
      <xdr:row>11</xdr:row>
      <xdr:rowOff>170087</xdr:rowOff>
    </xdr:from>
    <xdr:to>
      <xdr:col>2</xdr:col>
      <xdr:colOff>35862</xdr:colOff>
      <xdr:row>14</xdr:row>
      <xdr:rowOff>101635</xdr:rowOff>
    </xdr:to>
    <xdr:sp macro="" textlink="">
      <xdr:nvSpPr>
        <xdr:cNvPr id="62" name="Rectángulo: esquinas redondeadas 6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9E1AFBD-DF97-4209-8A32-BB29C9A20C62}"/>
            </a:ext>
          </a:extLst>
        </xdr:cNvPr>
        <xdr:cNvSpPr/>
      </xdr:nvSpPr>
      <xdr:spPr>
        <a:xfrm>
          <a:off x="152400" y="3467202"/>
          <a:ext cx="689424" cy="678895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GASTOS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 DE 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IMORT</a:t>
          </a:r>
        </a:p>
      </xdr:txBody>
    </xdr:sp>
    <xdr:clientData/>
  </xdr:twoCellAnchor>
  <xdr:twoCellAnchor>
    <xdr:from>
      <xdr:col>0</xdr:col>
      <xdr:colOff>152400</xdr:colOff>
      <xdr:row>14</xdr:row>
      <xdr:rowOff>212437</xdr:rowOff>
    </xdr:from>
    <xdr:to>
      <xdr:col>2</xdr:col>
      <xdr:colOff>35862</xdr:colOff>
      <xdr:row>17</xdr:row>
      <xdr:rowOff>151339</xdr:rowOff>
    </xdr:to>
    <xdr:sp macro="" textlink="">
      <xdr:nvSpPr>
        <xdr:cNvPr id="63" name="Rectángulo: esquinas redondeadas 6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DC0C1B5-3C84-482A-8BA7-BF877D90B1A5}"/>
            </a:ext>
          </a:extLst>
        </xdr:cNvPr>
        <xdr:cNvSpPr/>
      </xdr:nvSpPr>
      <xdr:spPr>
        <a:xfrm>
          <a:off x="152400" y="4256899"/>
          <a:ext cx="689424" cy="686248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800" b="1">
              <a:solidFill>
                <a:sysClr val="windowText" lastClr="000000"/>
              </a:solidFill>
            </a:rPr>
            <a:t>TRIBUTOS</a:t>
          </a:r>
          <a:r>
            <a:rPr lang="es-PE" sz="800" b="1" baseline="0">
              <a:solidFill>
                <a:sysClr val="windowText" lastClr="000000"/>
              </a:solidFill>
            </a:rPr>
            <a:t> </a:t>
          </a:r>
        </a:p>
        <a:p>
          <a:pPr algn="ctr"/>
          <a:r>
            <a:rPr lang="es-PE" sz="800" b="1" baseline="0">
              <a:solidFill>
                <a:sysClr val="windowText" lastClr="000000"/>
              </a:solidFill>
            </a:rPr>
            <a:t>DE </a:t>
          </a:r>
        </a:p>
        <a:p>
          <a:pPr algn="ctr"/>
          <a:r>
            <a:rPr lang="es-PE" sz="800" b="1" baseline="0">
              <a:solidFill>
                <a:sysClr val="windowText" lastClr="000000"/>
              </a:solidFill>
            </a:rPr>
            <a:t>ADUANA</a:t>
          </a:r>
          <a:endParaRPr lang="es-PE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152401</xdr:colOff>
      <xdr:row>3</xdr:row>
      <xdr:rowOff>219801</xdr:rowOff>
    </xdr:from>
    <xdr:to>
      <xdr:col>2</xdr:col>
      <xdr:colOff>43961</xdr:colOff>
      <xdr:row>5</xdr:row>
      <xdr:rowOff>254180</xdr:rowOff>
    </xdr:to>
    <xdr:grpSp>
      <xdr:nvGrpSpPr>
        <xdr:cNvPr id="64" name="Grupo 6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3E0AA9E-D023-48A7-AABF-54B6A42792DD}"/>
            </a:ext>
          </a:extLst>
        </xdr:cNvPr>
        <xdr:cNvGrpSpPr/>
      </xdr:nvGrpSpPr>
      <xdr:grpSpPr>
        <a:xfrm>
          <a:off x="152401" y="1116272"/>
          <a:ext cx="698384" cy="807584"/>
          <a:chOff x="318914" y="1115235"/>
          <a:chExt cx="649941" cy="684283"/>
        </a:xfrm>
      </xdr:grpSpPr>
      <xdr:sp macro="" textlink="">
        <xdr:nvSpPr>
          <xdr:cNvPr id="65" name="Rectángulo: esquinas redondeadas 64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CBD62880-C508-89C6-F69D-A743953F08E9}"/>
              </a:ext>
            </a:extLst>
          </xdr:cNvPr>
          <xdr:cNvSpPr/>
        </xdr:nvSpPr>
        <xdr:spPr>
          <a:xfrm>
            <a:off x="318914" y="1115235"/>
            <a:ext cx="649941" cy="684283"/>
          </a:xfrm>
          <a:prstGeom prst="roundRect">
            <a:avLst/>
          </a:prstGeom>
          <a:solidFill>
            <a:srgbClr val="0A4174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480" b="1"/>
              <a:t>INTRODUCCIÓN</a:t>
            </a:r>
          </a:p>
          <a:p>
            <a:pPr algn="ctr"/>
            <a:endParaRPr lang="es-PE" sz="1100" b="1"/>
          </a:p>
        </xdr:txBody>
      </xdr:sp>
      <xdr:pic>
        <xdr:nvPicPr>
          <xdr:cNvPr id="66" name="Gráfico 65" descr="Lupa con relleno sólido">
            <a:extLst>
              <a:ext uri="{FF2B5EF4-FFF2-40B4-BE49-F238E27FC236}">
                <a16:creationId xmlns:a16="http://schemas.microsoft.com/office/drawing/2014/main" id="{9F466080-89CB-03F7-6D63-A1A1098C94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493839" y="1402188"/>
            <a:ext cx="281940" cy="28695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142875</xdr:colOff>
      <xdr:row>18</xdr:row>
      <xdr:rowOff>543</xdr:rowOff>
    </xdr:from>
    <xdr:to>
      <xdr:col>2</xdr:col>
      <xdr:colOff>31848</xdr:colOff>
      <xdr:row>20</xdr:row>
      <xdr:rowOff>194897</xdr:rowOff>
    </xdr:to>
    <xdr:sp macro="" textlink="">
      <xdr:nvSpPr>
        <xdr:cNvPr id="67" name="Rectángulo: esquinas redondeadas 6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8F074CE-CDD1-4434-AAE4-F1D3832ECDE8}"/>
            </a:ext>
          </a:extLst>
        </xdr:cNvPr>
        <xdr:cNvSpPr/>
      </xdr:nvSpPr>
      <xdr:spPr>
        <a:xfrm>
          <a:off x="142875" y="5041466"/>
          <a:ext cx="694935" cy="692585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COSTO DEL PRODUC</a:t>
          </a:r>
        </a:p>
      </xdr:txBody>
    </xdr:sp>
    <xdr:clientData/>
  </xdr:twoCellAnchor>
  <xdr:twoCellAnchor>
    <xdr:from>
      <xdr:col>0</xdr:col>
      <xdr:colOff>152401</xdr:colOff>
      <xdr:row>21</xdr:row>
      <xdr:rowOff>27468</xdr:rowOff>
    </xdr:from>
    <xdr:to>
      <xdr:col>2</xdr:col>
      <xdr:colOff>31849</xdr:colOff>
      <xdr:row>23</xdr:row>
      <xdr:rowOff>230139</xdr:rowOff>
    </xdr:to>
    <xdr:sp macro="" textlink="">
      <xdr:nvSpPr>
        <xdr:cNvPr id="68" name="Rectángulo: esquinas redondeadas 6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7E62AC3-3DA4-4DC5-A283-F34EB846DBFD}"/>
            </a:ext>
          </a:extLst>
        </xdr:cNvPr>
        <xdr:cNvSpPr/>
      </xdr:nvSpPr>
      <xdr:spPr>
        <a:xfrm>
          <a:off x="152401" y="5815737"/>
          <a:ext cx="685410" cy="700902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157370</xdr:colOff>
      <xdr:row>24</xdr:row>
      <xdr:rowOff>89828</xdr:rowOff>
    </xdr:from>
    <xdr:to>
      <xdr:col>2</xdr:col>
      <xdr:colOff>39308</xdr:colOff>
      <xdr:row>27</xdr:row>
      <xdr:rowOff>29796</xdr:rowOff>
    </xdr:to>
    <xdr:sp macro="" textlink="">
      <xdr:nvSpPr>
        <xdr:cNvPr id="4" name="Rectángulo: esquinas redondeadas 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25CEE0C-1B00-4DA9-8EEC-0B73FC6E7FE6}"/>
            </a:ext>
          </a:extLst>
        </xdr:cNvPr>
        <xdr:cNvSpPr/>
      </xdr:nvSpPr>
      <xdr:spPr>
        <a:xfrm>
          <a:off x="157370" y="6625443"/>
          <a:ext cx="687900" cy="687315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0</xdr:col>
      <xdr:colOff>170235</xdr:colOff>
      <xdr:row>27</xdr:row>
      <xdr:rowOff>118886</xdr:rowOff>
    </xdr:from>
    <xdr:to>
      <xdr:col>2</xdr:col>
      <xdr:colOff>50498</xdr:colOff>
      <xdr:row>30</xdr:row>
      <xdr:rowOff>43837</xdr:rowOff>
    </xdr:to>
    <xdr:sp macro="" textlink="">
      <xdr:nvSpPr>
        <xdr:cNvPr id="5" name="Rectángulo: esquinas redondeadas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CABE30F-2905-48A8-9F23-39831582E7FB}"/>
            </a:ext>
          </a:extLst>
        </xdr:cNvPr>
        <xdr:cNvSpPr/>
      </xdr:nvSpPr>
      <xdr:spPr>
        <a:xfrm>
          <a:off x="170235" y="7401848"/>
          <a:ext cx="686225" cy="672297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76200</xdr:rowOff>
    </xdr:from>
    <xdr:to>
      <xdr:col>12</xdr:col>
      <xdr:colOff>133350</xdr:colOff>
      <xdr:row>16</xdr:row>
      <xdr:rowOff>9525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80E89CDD-71BB-41CE-8F03-A19E7D538867}"/>
            </a:ext>
          </a:extLst>
        </xdr:cNvPr>
        <xdr:cNvSpPr/>
      </xdr:nvSpPr>
      <xdr:spPr>
        <a:xfrm>
          <a:off x="7505700" y="266700"/>
          <a:ext cx="4200525" cy="2809875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5</xdr:col>
      <xdr:colOff>152400</xdr:colOff>
      <xdr:row>6</xdr:row>
      <xdr:rowOff>104776</xdr:rowOff>
    </xdr:from>
    <xdr:to>
      <xdr:col>12</xdr:col>
      <xdr:colOff>76200</xdr:colOff>
      <xdr:row>15</xdr:row>
      <xdr:rowOff>247651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180976</xdr:colOff>
      <xdr:row>16</xdr:row>
      <xdr:rowOff>247651</xdr:rowOff>
    </xdr:from>
    <xdr:to>
      <xdr:col>12</xdr:col>
      <xdr:colOff>219076</xdr:colOff>
      <xdr:row>23</xdr:row>
      <xdr:rowOff>152401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BE5E5528-AD03-4AD4-976D-2DB323F155BD}"/>
            </a:ext>
          </a:extLst>
        </xdr:cNvPr>
        <xdr:cNvSpPr/>
      </xdr:nvSpPr>
      <xdr:spPr>
        <a:xfrm>
          <a:off x="7486651" y="3314701"/>
          <a:ext cx="4305300" cy="2362200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3</xdr:col>
      <xdr:colOff>1828800</xdr:colOff>
      <xdr:row>16</xdr:row>
      <xdr:rowOff>257175</xdr:rowOff>
    </xdr:from>
    <xdr:to>
      <xdr:col>12</xdr:col>
      <xdr:colOff>9526</xdr:colOff>
      <xdr:row>23</xdr:row>
      <xdr:rowOff>171451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19051</xdr:colOff>
      <xdr:row>1</xdr:row>
      <xdr:rowOff>19051</xdr:rowOff>
    </xdr:from>
    <xdr:to>
      <xdr:col>8</xdr:col>
      <xdr:colOff>361950</xdr:colOff>
      <xdr:row>5</xdr:row>
      <xdr:rowOff>123825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90CA7FAE-F799-418C-A165-E5D97E5F58F3}"/>
            </a:ext>
          </a:extLst>
        </xdr:cNvPr>
        <xdr:cNvSpPr/>
      </xdr:nvSpPr>
      <xdr:spPr>
        <a:xfrm>
          <a:off x="1085851" y="104776"/>
          <a:ext cx="8524874" cy="866774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815228</xdr:colOff>
      <xdr:row>1</xdr:row>
      <xdr:rowOff>96380</xdr:rowOff>
    </xdr:from>
    <xdr:to>
      <xdr:col>3</xdr:col>
      <xdr:colOff>1492028</xdr:colOff>
      <xdr:row>5</xdr:row>
      <xdr:rowOff>3980</xdr:rowOff>
    </xdr:to>
    <xdr:sp macro="" textlink="">
      <xdr:nvSpPr>
        <xdr:cNvPr id="19" name="Rectángulo: esquinas redondeadas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3492D7F-1AB6-4F01-AB24-4FE25E658ACF}"/>
            </a:ext>
          </a:extLst>
        </xdr:cNvPr>
        <xdr:cNvSpPr/>
      </xdr:nvSpPr>
      <xdr:spPr>
        <a:xfrm>
          <a:off x="6254003" y="182105"/>
          <a:ext cx="676800" cy="669600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COSTO DEL PRODUC</a:t>
          </a:r>
        </a:p>
      </xdr:txBody>
    </xdr:sp>
    <xdr:clientData/>
  </xdr:twoCellAnchor>
  <xdr:twoCellAnchor>
    <xdr:from>
      <xdr:col>3</xdr:col>
      <xdr:colOff>1691529</xdr:colOff>
      <xdr:row>1</xdr:row>
      <xdr:rowOff>96091</xdr:rowOff>
    </xdr:from>
    <xdr:to>
      <xdr:col>5</xdr:col>
      <xdr:colOff>301404</xdr:colOff>
      <xdr:row>5</xdr:row>
      <xdr:rowOff>3691</xdr:rowOff>
    </xdr:to>
    <xdr:sp macro="" textlink="">
      <xdr:nvSpPr>
        <xdr:cNvPr id="20" name="Rectángulo: esquinas redondeadas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DDBE2-EB7C-40EF-A07C-6419D18345C4}"/>
            </a:ext>
          </a:extLst>
        </xdr:cNvPr>
        <xdr:cNvSpPr/>
      </xdr:nvSpPr>
      <xdr:spPr>
        <a:xfrm>
          <a:off x="7130304" y="181816"/>
          <a:ext cx="676800" cy="669600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VENTA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438150</xdr:colOff>
      <xdr:row>1</xdr:row>
      <xdr:rowOff>95250</xdr:rowOff>
    </xdr:from>
    <xdr:to>
      <xdr:col>6</xdr:col>
      <xdr:colOff>533925</xdr:colOff>
      <xdr:row>5</xdr:row>
      <xdr:rowOff>2850</xdr:rowOff>
    </xdr:to>
    <xdr:sp macro="" textlink="">
      <xdr:nvSpPr>
        <xdr:cNvPr id="25" name="Rectángulo: esquinas redondeadas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F0CA6EC-539A-467E-AA8B-BB2512D1E173}"/>
            </a:ext>
          </a:extLst>
        </xdr:cNvPr>
        <xdr:cNvSpPr/>
      </xdr:nvSpPr>
      <xdr:spPr>
        <a:xfrm>
          <a:off x="7943850" y="180975"/>
          <a:ext cx="676800" cy="669600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7</xdr:col>
      <xdr:colOff>98590</xdr:colOff>
      <xdr:row>1</xdr:row>
      <xdr:rowOff>98218</xdr:rowOff>
    </xdr:from>
    <xdr:to>
      <xdr:col>8</xdr:col>
      <xdr:colOff>192958</xdr:colOff>
      <xdr:row>5</xdr:row>
      <xdr:rowOff>6604</xdr:rowOff>
    </xdr:to>
    <xdr:sp macro="" textlink="">
      <xdr:nvSpPr>
        <xdr:cNvPr id="26" name="Rectángulo: esquinas redondeadas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2C7CC54-7790-47B9-85EA-8AA21D4B55FB}"/>
            </a:ext>
          </a:extLst>
        </xdr:cNvPr>
        <xdr:cNvSpPr/>
      </xdr:nvSpPr>
      <xdr:spPr>
        <a:xfrm>
          <a:off x="8766340" y="183943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  <xdr:twoCellAnchor>
    <xdr:from>
      <xdr:col>1</xdr:col>
      <xdr:colOff>158004</xdr:colOff>
      <xdr:row>1</xdr:row>
      <xdr:rowOff>96611</xdr:rowOff>
    </xdr:from>
    <xdr:to>
      <xdr:col>1</xdr:col>
      <xdr:colOff>833817</xdr:colOff>
      <xdr:row>5</xdr:row>
      <xdr:rowOff>5157</xdr:rowOff>
    </xdr:to>
    <xdr:grpSp>
      <xdr:nvGrpSpPr>
        <xdr:cNvPr id="5" name="Grupo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CF5A6AB-4E06-4E27-BE51-0537A242179D}"/>
            </a:ext>
          </a:extLst>
        </xdr:cNvPr>
        <xdr:cNvGrpSpPr/>
      </xdr:nvGrpSpPr>
      <xdr:grpSpPr>
        <a:xfrm>
          <a:off x="443754" y="182336"/>
          <a:ext cx="675813" cy="670546"/>
          <a:chOff x="427899" y="446598"/>
          <a:chExt cx="650642" cy="674803"/>
        </a:xfrm>
      </xdr:grpSpPr>
      <xdr:sp macro="" textlink="">
        <xdr:nvSpPr>
          <xdr:cNvPr id="6" name="Rectángulo: esquinas redondeadas 5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C0AE4B0D-3864-3F33-8E6B-FDB74B9BD29E}"/>
              </a:ext>
            </a:extLst>
          </xdr:cNvPr>
          <xdr:cNvSpPr/>
        </xdr:nvSpPr>
        <xdr:spPr>
          <a:xfrm>
            <a:off x="427899" y="446598"/>
            <a:ext cx="650642" cy="674803"/>
          </a:xfrm>
          <a:prstGeom prst="roundRect">
            <a:avLst/>
          </a:prstGeom>
          <a:solidFill>
            <a:srgbClr val="001D39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Inicio</a:t>
            </a:r>
          </a:p>
          <a:p>
            <a:pPr algn="ctr"/>
            <a:endParaRPr lang="es-PE" sz="1200" b="1"/>
          </a:p>
        </xdr:txBody>
      </xdr:sp>
      <xdr:pic>
        <xdr:nvPicPr>
          <xdr:cNvPr id="7" name="Gráfico 6" descr="Hogar contorno">
            <a:extLst>
              <a:ext uri="{FF2B5EF4-FFF2-40B4-BE49-F238E27FC236}">
                <a16:creationId xmlns:a16="http://schemas.microsoft.com/office/drawing/2014/main" id="{243F414E-273F-8F89-6269-5188AB480D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619971" y="736506"/>
            <a:ext cx="268035" cy="27013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986678</xdr:colOff>
      <xdr:row>1</xdr:row>
      <xdr:rowOff>103104</xdr:rowOff>
    </xdr:from>
    <xdr:to>
      <xdr:col>1</xdr:col>
      <xdr:colOff>1663478</xdr:colOff>
      <xdr:row>5</xdr:row>
      <xdr:rowOff>10704</xdr:rowOff>
    </xdr:to>
    <xdr:grpSp>
      <xdr:nvGrpSpPr>
        <xdr:cNvPr id="16" name="Grupo 1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14136E5-94E3-47FC-A65A-CF7C86358DCF}"/>
            </a:ext>
          </a:extLst>
        </xdr:cNvPr>
        <xdr:cNvGrpSpPr/>
      </xdr:nvGrpSpPr>
      <xdr:grpSpPr>
        <a:xfrm>
          <a:off x="1272428" y="188829"/>
          <a:ext cx="676800" cy="669600"/>
          <a:chOff x="318914" y="1115235"/>
          <a:chExt cx="649941" cy="684283"/>
        </a:xfrm>
      </xdr:grpSpPr>
      <xdr:sp macro="" textlink="">
        <xdr:nvSpPr>
          <xdr:cNvPr id="17" name="Rectángulo: esquinas redondeadas 16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163086F8-1C35-6421-EC69-9F044A21D7A3}"/>
              </a:ext>
            </a:extLst>
          </xdr:cNvPr>
          <xdr:cNvSpPr/>
        </xdr:nvSpPr>
        <xdr:spPr>
          <a:xfrm>
            <a:off x="318914" y="1115235"/>
            <a:ext cx="649941" cy="684283"/>
          </a:xfrm>
          <a:prstGeom prst="roundRect">
            <a:avLst/>
          </a:prstGeom>
          <a:solidFill>
            <a:srgbClr val="0A4174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480" b="1"/>
              <a:t>INTRODUCCIÓN</a:t>
            </a:r>
          </a:p>
          <a:p>
            <a:pPr algn="ctr"/>
            <a:endParaRPr lang="es-PE" sz="1100" b="1"/>
          </a:p>
        </xdr:txBody>
      </xdr:sp>
      <xdr:pic>
        <xdr:nvPicPr>
          <xdr:cNvPr id="18" name="Gráfico 17" descr="Lupa con relleno sólido">
            <a:extLst>
              <a:ext uri="{FF2B5EF4-FFF2-40B4-BE49-F238E27FC236}">
                <a16:creationId xmlns:a16="http://schemas.microsoft.com/office/drawing/2014/main" id="{985257F3-9AD8-F3CA-A96F-D23FB869B0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493839" y="1402188"/>
            <a:ext cx="281940" cy="28695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1815354</xdr:colOff>
      <xdr:row>1</xdr:row>
      <xdr:rowOff>102028</xdr:rowOff>
    </xdr:from>
    <xdr:to>
      <xdr:col>1</xdr:col>
      <xdr:colOff>2493409</xdr:colOff>
      <xdr:row>5</xdr:row>
      <xdr:rowOff>9628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FD88BDA7-8096-4745-853A-9098D773E788}"/>
            </a:ext>
          </a:extLst>
        </xdr:cNvPr>
        <xdr:cNvGrpSpPr/>
      </xdr:nvGrpSpPr>
      <xdr:grpSpPr>
        <a:xfrm>
          <a:off x="2101104" y="187753"/>
          <a:ext cx="678055" cy="669600"/>
          <a:chOff x="430141" y="1986147"/>
          <a:chExt cx="650642" cy="680135"/>
        </a:xfrm>
      </xdr:grpSpPr>
      <xdr:sp macro="" textlink="">
        <xdr:nvSpPr>
          <xdr:cNvPr id="9" name="Rectángulo: esquinas redondeadas 8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77E44725-5250-2A1E-ADD6-CD4E9823E139}"/>
              </a:ext>
            </a:extLst>
          </xdr:cNvPr>
          <xdr:cNvSpPr/>
        </xdr:nvSpPr>
        <xdr:spPr>
          <a:xfrm>
            <a:off x="430141" y="1986147"/>
            <a:ext cx="650642" cy="680135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12" name="Gráfico 11" descr="Búsqueda de carpetas contorno">
            <a:extLst>
              <a:ext uri="{FF2B5EF4-FFF2-40B4-BE49-F238E27FC236}">
                <a16:creationId xmlns:a16="http://schemas.microsoft.com/office/drawing/2014/main" id="{7288B255-A14A-B2FD-300D-AEA0332E30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2663078</xdr:colOff>
      <xdr:row>1</xdr:row>
      <xdr:rowOff>110087</xdr:rowOff>
    </xdr:from>
    <xdr:to>
      <xdr:col>2</xdr:col>
      <xdr:colOff>434753</xdr:colOff>
      <xdr:row>5</xdr:row>
      <xdr:rowOff>17687</xdr:rowOff>
    </xdr:to>
    <xdr:sp macro="" textlink="">
      <xdr:nvSpPr>
        <xdr:cNvPr id="13" name="Rectángulo: esquinas redondeadas 1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F2908A6-A08A-4919-82CC-A36390267DBB}"/>
            </a:ext>
          </a:extLst>
        </xdr:cNvPr>
        <xdr:cNvSpPr/>
      </xdr:nvSpPr>
      <xdr:spPr>
        <a:xfrm>
          <a:off x="3729878" y="195812"/>
          <a:ext cx="676800" cy="669600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/>
            <a:t>FACTURA</a:t>
          </a:r>
          <a:r>
            <a:rPr lang="es-PE" sz="700" b="1" baseline="0"/>
            <a:t> COMECIAL </a:t>
          </a:r>
          <a:endParaRPr lang="es-PE" sz="700" b="1"/>
        </a:p>
      </xdr:txBody>
    </xdr:sp>
    <xdr:clientData/>
  </xdr:twoCellAnchor>
  <xdr:twoCellAnchor>
    <xdr:from>
      <xdr:col>2</xdr:col>
      <xdr:colOff>596153</xdr:colOff>
      <xdr:row>1</xdr:row>
      <xdr:rowOff>109336</xdr:rowOff>
    </xdr:from>
    <xdr:to>
      <xdr:col>2</xdr:col>
      <xdr:colOff>1272953</xdr:colOff>
      <xdr:row>5</xdr:row>
      <xdr:rowOff>16936</xdr:rowOff>
    </xdr:to>
    <xdr:sp macro="" textlink="">
      <xdr:nvSpPr>
        <xdr:cNvPr id="14" name="Rectángulo: esquinas redondeadas 1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C0D357D-565E-4354-A69D-422E2C87FA2B}"/>
            </a:ext>
          </a:extLst>
        </xdr:cNvPr>
        <xdr:cNvSpPr/>
      </xdr:nvSpPr>
      <xdr:spPr>
        <a:xfrm>
          <a:off x="4568078" y="195061"/>
          <a:ext cx="676800" cy="669600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GASTOS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 DE 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IMORT</a:t>
          </a:r>
        </a:p>
      </xdr:txBody>
    </xdr:sp>
    <xdr:clientData/>
  </xdr:twoCellAnchor>
  <xdr:twoCellAnchor>
    <xdr:from>
      <xdr:col>2</xdr:col>
      <xdr:colOff>1443878</xdr:colOff>
      <xdr:row>1</xdr:row>
      <xdr:rowOff>105423</xdr:rowOff>
    </xdr:from>
    <xdr:to>
      <xdr:col>3</xdr:col>
      <xdr:colOff>653828</xdr:colOff>
      <xdr:row>5</xdr:row>
      <xdr:rowOff>13023</xdr:rowOff>
    </xdr:to>
    <xdr:sp macro="" textlink="">
      <xdr:nvSpPr>
        <xdr:cNvPr id="15" name="Rectángulo: esquinas redondeada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F462619-0513-4BA1-8664-DA9FA5510841}"/>
            </a:ext>
          </a:extLst>
        </xdr:cNvPr>
        <xdr:cNvSpPr/>
      </xdr:nvSpPr>
      <xdr:spPr>
        <a:xfrm>
          <a:off x="5415803" y="191148"/>
          <a:ext cx="676800" cy="669600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800" b="1">
              <a:solidFill>
                <a:sysClr val="windowText" lastClr="000000"/>
              </a:solidFill>
            </a:rPr>
            <a:t>TRIBUTOS</a:t>
          </a:r>
          <a:r>
            <a:rPr lang="es-PE" sz="800" b="1" baseline="0">
              <a:solidFill>
                <a:sysClr val="windowText" lastClr="000000"/>
              </a:solidFill>
            </a:rPr>
            <a:t> </a:t>
          </a:r>
        </a:p>
        <a:p>
          <a:pPr algn="ctr"/>
          <a:r>
            <a:rPr lang="es-PE" sz="800" b="1" baseline="0">
              <a:solidFill>
                <a:sysClr val="windowText" lastClr="000000"/>
              </a:solidFill>
            </a:rPr>
            <a:t>DE </a:t>
          </a:r>
        </a:p>
        <a:p>
          <a:pPr algn="ctr"/>
          <a:r>
            <a:rPr lang="es-PE" sz="800" b="1" baseline="0">
              <a:solidFill>
                <a:sysClr val="windowText" lastClr="000000"/>
              </a:solidFill>
            </a:rPr>
            <a:t>ADUANA</a:t>
          </a:r>
          <a:endParaRPr lang="es-PE" sz="14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313764</xdr:colOff>
      <xdr:row>7</xdr:row>
      <xdr:rowOff>190499</xdr:rowOff>
    </xdr:from>
    <xdr:to>
      <xdr:col>13</xdr:col>
      <xdr:colOff>714794</xdr:colOff>
      <xdr:row>20</xdr:row>
      <xdr:rowOff>178697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358587</xdr:colOff>
      <xdr:row>13</xdr:row>
      <xdr:rowOff>246527</xdr:rowOff>
    </xdr:from>
    <xdr:to>
      <xdr:col>28</xdr:col>
      <xdr:colOff>421925</xdr:colOff>
      <xdr:row>27</xdr:row>
      <xdr:rowOff>224117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11207</xdr:colOff>
      <xdr:row>3</xdr:row>
      <xdr:rowOff>358588</xdr:rowOff>
    </xdr:from>
    <xdr:to>
      <xdr:col>18</xdr:col>
      <xdr:colOff>257163</xdr:colOff>
      <xdr:row>13</xdr:row>
      <xdr:rowOff>10609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380999</xdr:colOff>
      <xdr:row>28</xdr:row>
      <xdr:rowOff>179294</xdr:rowOff>
    </xdr:from>
    <xdr:to>
      <xdr:col>6</xdr:col>
      <xdr:colOff>322483</xdr:colOff>
      <xdr:row>43</xdr:row>
      <xdr:rowOff>135360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537883</xdr:colOff>
      <xdr:row>28</xdr:row>
      <xdr:rowOff>168089</xdr:rowOff>
    </xdr:from>
    <xdr:to>
      <xdr:col>7</xdr:col>
      <xdr:colOff>1294317</xdr:colOff>
      <xdr:row>44</xdr:row>
      <xdr:rowOff>45713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22411</xdr:colOff>
      <xdr:row>28</xdr:row>
      <xdr:rowOff>156883</xdr:rowOff>
    </xdr:from>
    <xdr:to>
      <xdr:col>9</xdr:col>
      <xdr:colOff>1175065</xdr:colOff>
      <xdr:row>44</xdr:row>
      <xdr:rowOff>68125</xdr:rowOff>
    </xdr:to>
    <xdr:graphicFrame macro="">
      <xdr:nvGraphicFramePr>
        <xdr:cNvPr id="17" name="Chart 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6</xdr:col>
      <xdr:colOff>190500</xdr:colOff>
      <xdr:row>58</xdr:row>
      <xdr:rowOff>67236</xdr:rowOff>
    </xdr:from>
    <xdr:to>
      <xdr:col>8</xdr:col>
      <xdr:colOff>691954</xdr:colOff>
      <xdr:row>69</xdr:row>
      <xdr:rowOff>121458</xdr:rowOff>
    </xdr:to>
    <xdr:graphicFrame macro="">
      <xdr:nvGraphicFramePr>
        <xdr:cNvPr id="18" name="Chart 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4</xdr:col>
      <xdr:colOff>0</xdr:colOff>
      <xdr:row>58</xdr:row>
      <xdr:rowOff>112058</xdr:rowOff>
    </xdr:from>
    <xdr:to>
      <xdr:col>5</xdr:col>
      <xdr:colOff>1333500</xdr:colOff>
      <xdr:row>70</xdr:row>
      <xdr:rowOff>87839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72837</xdr:colOff>
      <xdr:row>13</xdr:row>
      <xdr:rowOff>78856</xdr:rowOff>
    </xdr:from>
    <xdr:to>
      <xdr:col>34</xdr:col>
      <xdr:colOff>304801</xdr:colOff>
      <xdr:row>57</xdr:row>
      <xdr:rowOff>2443369</xdr:rowOff>
    </xdr:to>
    <xdr:sp macro="" textlink="">
      <xdr:nvSpPr>
        <xdr:cNvPr id="70" name="Rectángulo: esquinas redondeadas 69">
          <a:extLst>
            <a:ext uri="{FF2B5EF4-FFF2-40B4-BE49-F238E27FC236}">
              <a16:creationId xmlns:a16="http://schemas.microsoft.com/office/drawing/2014/main" id="{F3AE939F-C46C-4AC2-888D-B47E890ED41E}"/>
            </a:ext>
          </a:extLst>
        </xdr:cNvPr>
        <xdr:cNvSpPr/>
      </xdr:nvSpPr>
      <xdr:spPr>
        <a:xfrm>
          <a:off x="1324694" y="2718642"/>
          <a:ext cx="23064750" cy="11726227"/>
        </a:xfrm>
        <a:prstGeom prst="roundRect">
          <a:avLst>
            <a:gd name="adj" fmla="val 3565"/>
          </a:avLst>
        </a:prstGeom>
        <a:solidFill>
          <a:srgbClr val="DCEBF4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19</xdr:col>
      <xdr:colOff>532700</xdr:colOff>
      <xdr:row>37</xdr:row>
      <xdr:rowOff>95280</xdr:rowOff>
    </xdr:from>
    <xdr:to>
      <xdr:col>28</xdr:col>
      <xdr:colOff>38515</xdr:colOff>
      <xdr:row>50</xdr:row>
      <xdr:rowOff>80435</xdr:rowOff>
    </xdr:to>
    <xdr:sp macro="" textlink="">
      <xdr:nvSpPr>
        <xdr:cNvPr id="69" name="Rectángulo: esquinas redondeadas 68">
          <a:extLst>
            <a:ext uri="{FF2B5EF4-FFF2-40B4-BE49-F238E27FC236}">
              <a16:creationId xmlns:a16="http://schemas.microsoft.com/office/drawing/2014/main" id="{F0A9C3C7-D9FB-4A13-9A5A-E7FD5BD56D09}"/>
            </a:ext>
          </a:extLst>
        </xdr:cNvPr>
        <xdr:cNvSpPr/>
      </xdr:nvSpPr>
      <xdr:spPr>
        <a:xfrm>
          <a:off x="13190367" y="8307947"/>
          <a:ext cx="6363815" cy="2461655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7</xdr:col>
      <xdr:colOff>317642</xdr:colOff>
      <xdr:row>21</xdr:row>
      <xdr:rowOff>141167</xdr:rowOff>
    </xdr:from>
    <xdr:to>
      <xdr:col>17</xdr:col>
      <xdr:colOff>43607</xdr:colOff>
      <xdr:row>36</xdr:row>
      <xdr:rowOff>63117</xdr:rowOff>
    </xdr:to>
    <xdr:sp macro="" textlink="">
      <xdr:nvSpPr>
        <xdr:cNvPr id="48" name="Rectángulo: esquinas redondeadas 47">
          <a:extLst>
            <a:ext uri="{FF2B5EF4-FFF2-40B4-BE49-F238E27FC236}">
              <a16:creationId xmlns:a16="http://schemas.microsoft.com/office/drawing/2014/main" id="{BD3A5B4A-E493-455A-9362-93A621EA6767}"/>
            </a:ext>
          </a:extLst>
        </xdr:cNvPr>
        <xdr:cNvSpPr/>
      </xdr:nvSpPr>
      <xdr:spPr>
        <a:xfrm>
          <a:off x="3831309" y="5221167"/>
          <a:ext cx="7345965" cy="2864117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oneCellAnchor>
    <xdr:from>
      <xdr:col>1</xdr:col>
      <xdr:colOff>673537</xdr:colOff>
      <xdr:row>4</xdr:row>
      <xdr:rowOff>133690</xdr:rowOff>
    </xdr:from>
    <xdr:ext cx="3257109" cy="798617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79C49D0-448B-2221-135D-DBA4046B888B}"/>
            </a:ext>
          </a:extLst>
        </xdr:cNvPr>
        <xdr:cNvSpPr/>
      </xdr:nvSpPr>
      <xdr:spPr>
        <a:xfrm>
          <a:off x="1149787" y="895690"/>
          <a:ext cx="3257109" cy="79861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es-ES" sz="4800" b="1" cap="none" spc="0">
              <a:ln w="0"/>
              <a:solidFill>
                <a:srgbClr val="49769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 Narrow" panose="020B0606020202030204" pitchFamily="34" charset="0"/>
            </a:rPr>
            <a:t>Dashboard</a:t>
          </a:r>
        </a:p>
      </xdr:txBody>
    </xdr:sp>
    <xdr:clientData/>
  </xdr:oneCellAnchor>
  <xdr:oneCellAnchor>
    <xdr:from>
      <xdr:col>1</xdr:col>
      <xdr:colOff>705782</xdr:colOff>
      <xdr:row>9</xdr:row>
      <xdr:rowOff>10914</xdr:rowOff>
    </xdr:from>
    <xdr:ext cx="3541357" cy="476477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15C728C-2C3A-49B8-B189-28A7C4DC0EFB}"/>
            </a:ext>
          </a:extLst>
        </xdr:cNvPr>
        <xdr:cNvSpPr/>
      </xdr:nvSpPr>
      <xdr:spPr>
        <a:xfrm>
          <a:off x="1182032" y="1606352"/>
          <a:ext cx="3541357" cy="47647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es-ES" sz="2800" b="0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badi ExtraLight" panose="020F0502020204030204" pitchFamily="34" charset="0"/>
            </a:rPr>
            <a:t>Costos de Importación</a:t>
          </a:r>
        </a:p>
      </xdr:txBody>
    </xdr:sp>
    <xdr:clientData/>
  </xdr:oneCellAnchor>
  <xdr:twoCellAnchor>
    <xdr:from>
      <xdr:col>8</xdr:col>
      <xdr:colOff>439299</xdr:colOff>
      <xdr:row>4</xdr:row>
      <xdr:rowOff>155438</xdr:rowOff>
    </xdr:from>
    <xdr:to>
      <xdr:col>34</xdr:col>
      <xdr:colOff>266700</xdr:colOff>
      <xdr:row>10</xdr:row>
      <xdr:rowOff>121864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C811DFE1-B4B4-4894-9EEC-5BAB07FE1484}"/>
            </a:ext>
          </a:extLst>
        </xdr:cNvPr>
        <xdr:cNvSpPr/>
      </xdr:nvSpPr>
      <xdr:spPr>
        <a:xfrm>
          <a:off x="4744599" y="917438"/>
          <a:ext cx="19639401" cy="995126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4000" b="1">
              <a:solidFill>
                <a:schemeClr val="bg1">
                  <a:lumMod val="50000"/>
                </a:schemeClr>
              </a:solidFill>
            </a:rPr>
            <a:t>📊  CALCULADORA DE COSTOS DE IMPORTACIÓN — DASHBOARD EJECUTIVO</a:t>
          </a:r>
        </a:p>
      </xdr:txBody>
    </xdr:sp>
    <xdr:clientData/>
  </xdr:twoCellAnchor>
  <xdr:twoCellAnchor>
    <xdr:from>
      <xdr:col>7</xdr:col>
      <xdr:colOff>285916</xdr:colOff>
      <xdr:row>14</xdr:row>
      <xdr:rowOff>124254</xdr:rowOff>
    </xdr:from>
    <xdr:to>
      <xdr:col>26</xdr:col>
      <xdr:colOff>561118</xdr:colOff>
      <xdr:row>20</xdr:row>
      <xdr:rowOff>118535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C4268BB2-C2D1-40BE-A965-4EB195593397}"/>
            </a:ext>
          </a:extLst>
        </xdr:cNvPr>
        <xdr:cNvSpPr/>
      </xdr:nvSpPr>
      <xdr:spPr>
        <a:xfrm>
          <a:off x="3796559" y="2913718"/>
          <a:ext cx="14753202" cy="2089781"/>
        </a:xfrm>
        <a:prstGeom prst="roundRect">
          <a:avLst>
            <a:gd name="adj" fmla="val 7098"/>
          </a:avLst>
        </a:prstGeom>
        <a:solidFill>
          <a:sysClr val="window" lastClr="FFFFFF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7</xdr:col>
      <xdr:colOff>457293</xdr:colOff>
      <xdr:row>16</xdr:row>
      <xdr:rowOff>361682</xdr:rowOff>
    </xdr:from>
    <xdr:to>
      <xdr:col>9</xdr:col>
      <xdr:colOff>632050</xdr:colOff>
      <xdr:row>19</xdr:row>
      <xdr:rowOff>72272</xdr:rowOff>
    </xdr:to>
    <xdr:sp macro="" textlink="'🧾 Tributos Aduana'!F14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E1FD107E-897A-5B60-C991-9699F184A0F1}"/>
            </a:ext>
          </a:extLst>
        </xdr:cNvPr>
        <xdr:cNvSpPr/>
      </xdr:nvSpPr>
      <xdr:spPr>
        <a:xfrm>
          <a:off x="3967936" y="3913146"/>
          <a:ext cx="1698757" cy="853590"/>
        </a:xfrm>
        <a:prstGeom prst="roundRect">
          <a:avLst/>
        </a:prstGeom>
        <a:solidFill>
          <a:srgbClr val="001D39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3E7EA12-8B98-4C31-823B-BC564F995D72}" type="TxLink">
            <a:rPr lang="en-US" sz="1600" b="0" i="0" u="none" strike="noStrike">
              <a:solidFill>
                <a:schemeClr val="bg1"/>
              </a:solidFill>
              <a:latin typeface="Arial"/>
              <a:cs typeface="Arial"/>
            </a:rPr>
            <a:t>US$16,438.03</a:t>
          </a:fld>
          <a:endParaRPr lang="es-PE" sz="60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10</xdr:col>
      <xdr:colOff>42681</xdr:colOff>
      <xdr:row>17</xdr:row>
      <xdr:rowOff>4235</xdr:rowOff>
    </xdr:from>
    <xdr:to>
      <xdr:col>12</xdr:col>
      <xdr:colOff>250838</xdr:colOff>
      <xdr:row>19</xdr:row>
      <xdr:rowOff>99485</xdr:rowOff>
    </xdr:to>
    <xdr:sp macro="" textlink="'📦 Gastos Importación'!E28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9B6442C4-897B-43B3-AEBD-C848CC4337A0}"/>
            </a:ext>
          </a:extLst>
        </xdr:cNvPr>
        <xdr:cNvSpPr/>
      </xdr:nvSpPr>
      <xdr:spPr>
        <a:xfrm>
          <a:off x="5842348" y="3941235"/>
          <a:ext cx="1732157" cy="857250"/>
        </a:xfrm>
        <a:prstGeom prst="roundRect">
          <a:avLst/>
        </a:prstGeom>
        <a:solidFill>
          <a:srgbClr val="0A4174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66A14F7-5261-404A-A285-3D05B869B259}" type="TxLink">
            <a:rPr lang="en-US" sz="1800" b="1" i="0" u="none" strike="noStrike">
              <a:solidFill>
                <a:schemeClr val="bg1"/>
              </a:solidFill>
              <a:latin typeface="Arial"/>
              <a:cs typeface="Arial"/>
            </a:rPr>
            <a:t>US$18,588.77</a:t>
          </a:fld>
          <a:endParaRPr lang="en-US" sz="5400" b="0" i="0" u="none" strike="noStrike">
            <a:solidFill>
              <a:schemeClr val="bg1"/>
            </a:solidFill>
            <a:latin typeface="+mn-lt"/>
            <a:cs typeface="Arial"/>
          </a:endParaRPr>
        </a:p>
      </xdr:txBody>
    </xdr:sp>
    <xdr:clientData/>
  </xdr:twoCellAnchor>
  <xdr:twoCellAnchor>
    <xdr:from>
      <xdr:col>12</xdr:col>
      <xdr:colOff>458347</xdr:colOff>
      <xdr:row>16</xdr:row>
      <xdr:rowOff>376077</xdr:rowOff>
    </xdr:from>
    <xdr:to>
      <xdr:col>14</xdr:col>
      <xdr:colOff>462275</xdr:colOff>
      <xdr:row>19</xdr:row>
      <xdr:rowOff>80435</xdr:rowOff>
    </xdr:to>
    <xdr:sp macro="" textlink="'🧾 Tributos Aduana'!F17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2AAB44CF-876C-47F8-BC7A-8F5C9C504D4E}"/>
            </a:ext>
          </a:extLst>
        </xdr:cNvPr>
        <xdr:cNvSpPr/>
      </xdr:nvSpPr>
      <xdr:spPr>
        <a:xfrm>
          <a:off x="7782014" y="3932077"/>
          <a:ext cx="1527928" cy="847358"/>
        </a:xfrm>
        <a:prstGeom prst="roundRect">
          <a:avLst/>
        </a:prstGeom>
        <a:solidFill>
          <a:srgbClr val="49769F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F7BDD1F-9398-40A4-85EB-3434913F5F87}" type="TxLink">
            <a:rPr lang="en-US" sz="1600" b="0" i="0" u="none" strike="noStrike">
              <a:solidFill>
                <a:schemeClr val="bg1"/>
              </a:solidFill>
              <a:latin typeface="Arial"/>
              <a:cs typeface="Arial"/>
            </a:rPr>
            <a:t>US$986.00</a:t>
          </a:fld>
          <a:endParaRPr lang="es-PE" sz="60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14</xdr:col>
      <xdr:colOff>693036</xdr:colOff>
      <xdr:row>16</xdr:row>
      <xdr:rowOff>364933</xdr:rowOff>
    </xdr:from>
    <xdr:to>
      <xdr:col>16</xdr:col>
      <xdr:colOff>733684</xdr:colOff>
      <xdr:row>19</xdr:row>
      <xdr:rowOff>99485</xdr:rowOff>
    </xdr:to>
    <xdr:sp macro="" textlink="'🧾 Tributos Aduana'!F20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A24D711B-3C88-4D7C-BEBB-DF5C99E1A10B}"/>
            </a:ext>
          </a:extLst>
        </xdr:cNvPr>
        <xdr:cNvSpPr/>
      </xdr:nvSpPr>
      <xdr:spPr>
        <a:xfrm>
          <a:off x="9540703" y="3920933"/>
          <a:ext cx="1564648" cy="877552"/>
        </a:xfrm>
        <a:prstGeom prst="roundRect">
          <a:avLst/>
        </a:prstGeom>
        <a:solidFill>
          <a:srgbClr val="4E8EA2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536EE33-C3AA-43C6-804B-70C3F6164548}" type="TxLink">
            <a:rPr lang="en-US" sz="1600" b="1" i="0" u="none" strike="noStrike">
              <a:solidFill>
                <a:schemeClr val="bg1"/>
              </a:solidFill>
              <a:latin typeface="Arial"/>
              <a:cs typeface="Arial"/>
            </a:rPr>
            <a:t>US$4,122.00</a:t>
          </a:fld>
          <a:endParaRPr lang="es-PE" sz="60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17</xdr:col>
      <xdr:colOff>231637</xdr:colOff>
      <xdr:row>16</xdr:row>
      <xdr:rowOff>355810</xdr:rowOff>
    </xdr:from>
    <xdr:to>
      <xdr:col>19</xdr:col>
      <xdr:colOff>241915</xdr:colOff>
      <xdr:row>19</xdr:row>
      <xdr:rowOff>80436</xdr:rowOff>
    </xdr:to>
    <xdr:sp macro="" textlink="'📊 Dashboard'!I5">
      <xdr:nvSpPr>
        <xdr:cNvPr id="29" name="Rectángulo: esquinas redondeadas 28">
          <a:extLst>
            <a:ext uri="{FF2B5EF4-FFF2-40B4-BE49-F238E27FC236}">
              <a16:creationId xmlns:a16="http://schemas.microsoft.com/office/drawing/2014/main" id="{3E7DB772-E252-4ED6-984E-D41FFDB4F481}"/>
            </a:ext>
          </a:extLst>
        </xdr:cNvPr>
        <xdr:cNvSpPr/>
      </xdr:nvSpPr>
      <xdr:spPr>
        <a:xfrm>
          <a:off x="11365304" y="3911810"/>
          <a:ext cx="1534278" cy="867626"/>
        </a:xfrm>
        <a:prstGeom prst="roundRect">
          <a:avLst/>
        </a:prstGeom>
        <a:solidFill>
          <a:srgbClr val="8EA2B3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C52277B-00C7-4EC1-B72D-23F4324DB8B8}" type="TxLink">
            <a:rPr lang="en-US" sz="2400" b="1" i="0" u="none" strike="noStrike">
              <a:solidFill>
                <a:schemeClr val="bg1"/>
              </a:solidFill>
              <a:latin typeface="Arial"/>
              <a:cs typeface="Arial"/>
            </a:rPr>
            <a:t>S/.115,250.37</a:t>
          </a:fld>
          <a:endParaRPr lang="es-PE" sz="5400" b="0" i="0" u="none" strike="noStrike">
            <a:solidFill>
              <a:schemeClr val="bg1"/>
            </a:solidFill>
            <a:latin typeface="+mn-lt"/>
            <a:cs typeface="Arial"/>
          </a:endParaRPr>
        </a:p>
      </xdr:txBody>
    </xdr:sp>
    <xdr:clientData/>
  </xdr:twoCellAnchor>
  <xdr:twoCellAnchor>
    <xdr:from>
      <xdr:col>19</xdr:col>
      <xdr:colOff>471734</xdr:colOff>
      <xdr:row>16</xdr:row>
      <xdr:rowOff>345140</xdr:rowOff>
    </xdr:from>
    <xdr:to>
      <xdr:col>21</xdr:col>
      <xdr:colOff>506031</xdr:colOff>
      <xdr:row>19</xdr:row>
      <xdr:rowOff>80435</xdr:rowOff>
    </xdr:to>
    <xdr:sp macro="" textlink="'🏦 Crédito Fiscal'!$C$16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87BFE75A-6B8A-4FF5-9D6B-2A921C0D7899}"/>
            </a:ext>
          </a:extLst>
        </xdr:cNvPr>
        <xdr:cNvSpPr/>
      </xdr:nvSpPr>
      <xdr:spPr>
        <a:xfrm>
          <a:off x="13129401" y="3901140"/>
          <a:ext cx="1558297" cy="878295"/>
        </a:xfrm>
        <a:prstGeom prst="roundRect">
          <a:avLst/>
        </a:prstGeom>
        <a:solidFill>
          <a:srgbClr val="7BBDE8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DD9D47A-7EB8-4BEA-AEEC-168713D21F5A}" type="TxLink">
            <a:rPr lang="en-US" sz="1600" b="1" i="0" u="none" strike="noStrike">
              <a:solidFill>
                <a:schemeClr val="bg1"/>
              </a:solidFill>
              <a:latin typeface="Arial"/>
              <a:cs typeface="Arial"/>
            </a:rPr>
            <a:t>US$4,059.27</a:t>
          </a:fld>
          <a:endParaRPr lang="es-PE" sz="44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22</xdr:col>
      <xdr:colOff>1851</xdr:colOff>
      <xdr:row>16</xdr:row>
      <xdr:rowOff>345141</xdr:rowOff>
    </xdr:from>
    <xdr:to>
      <xdr:col>24</xdr:col>
      <xdr:colOff>5777</xdr:colOff>
      <xdr:row>19</xdr:row>
      <xdr:rowOff>80435</xdr:rowOff>
    </xdr:to>
    <xdr:sp macro="" textlink="'📊 Dashboard'!K5">
      <xdr:nvSpPr>
        <xdr:cNvPr id="33" name="Rectángulo: esquinas redondeadas 32">
          <a:extLst>
            <a:ext uri="{FF2B5EF4-FFF2-40B4-BE49-F238E27FC236}">
              <a16:creationId xmlns:a16="http://schemas.microsoft.com/office/drawing/2014/main" id="{3C8C3233-5FEB-4108-840E-9B989BBA06D4}"/>
            </a:ext>
          </a:extLst>
        </xdr:cNvPr>
        <xdr:cNvSpPr/>
      </xdr:nvSpPr>
      <xdr:spPr>
        <a:xfrm>
          <a:off x="14945518" y="3901141"/>
          <a:ext cx="1527926" cy="878294"/>
        </a:xfrm>
        <a:prstGeom prst="roundRect">
          <a:avLst/>
        </a:prstGeom>
        <a:solidFill>
          <a:srgbClr val="001D39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695F19A-F522-4593-9F0D-F75545C6CF67}" type="TxLink">
            <a:rPr lang="en-US" sz="2400" b="1" i="0" u="none" strike="noStrike">
              <a:solidFill>
                <a:schemeClr val="bg1"/>
              </a:solidFill>
              <a:latin typeface="Arial"/>
              <a:cs typeface="Arial"/>
            </a:rPr>
            <a:t>40.0%</a:t>
          </a:fld>
          <a:endParaRPr lang="es-PE" sz="54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24</xdr:col>
      <xdr:colOff>226102</xdr:colOff>
      <xdr:row>16</xdr:row>
      <xdr:rowOff>321369</xdr:rowOff>
    </xdr:from>
    <xdr:to>
      <xdr:col>26</xdr:col>
      <xdr:colOff>400820</xdr:colOff>
      <xdr:row>19</xdr:row>
      <xdr:rowOff>89960</xdr:rowOff>
    </xdr:to>
    <xdr:sp macro="" textlink="'🧾 Tributos Aduana'!F23">
      <xdr:nvSpPr>
        <xdr:cNvPr id="34" name="Rectángulo: esquinas redondeadas 33">
          <a:extLst>
            <a:ext uri="{FF2B5EF4-FFF2-40B4-BE49-F238E27FC236}">
              <a16:creationId xmlns:a16="http://schemas.microsoft.com/office/drawing/2014/main" id="{2323067E-A58B-422D-921D-E422AF121EE1}"/>
            </a:ext>
          </a:extLst>
        </xdr:cNvPr>
        <xdr:cNvSpPr/>
      </xdr:nvSpPr>
      <xdr:spPr>
        <a:xfrm>
          <a:off x="16693769" y="3877369"/>
          <a:ext cx="1698718" cy="911591"/>
        </a:xfrm>
        <a:prstGeom prst="roundRect">
          <a:avLst/>
        </a:prstGeom>
        <a:solidFill>
          <a:srgbClr val="0A4174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59FAE4F-AE5E-4272-8E3F-0364BFB3DC08}" type="TxLink">
            <a:rPr lang="en-US" sz="1400" b="0" i="0" u="none" strike="noStrike">
              <a:solidFill>
                <a:schemeClr val="bg1"/>
              </a:solidFill>
              <a:latin typeface="Arial"/>
              <a:cs typeface="Arial"/>
            </a:rPr>
            <a:t>US$719.60</a:t>
          </a:fld>
          <a:endParaRPr lang="es-PE" sz="54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27</xdr:col>
      <xdr:colOff>39063</xdr:colOff>
      <xdr:row>14</xdr:row>
      <xdr:rowOff>110357</xdr:rowOff>
    </xdr:from>
    <xdr:to>
      <xdr:col>33</xdr:col>
      <xdr:colOff>729205</xdr:colOff>
      <xdr:row>20</xdr:row>
      <xdr:rowOff>85195</xdr:rowOff>
    </xdr:to>
    <xdr:sp macro="" textlink="">
      <xdr:nvSpPr>
        <xdr:cNvPr id="41" name="Rectángulo: esquinas redondeadas 40">
          <a:extLst>
            <a:ext uri="{FF2B5EF4-FFF2-40B4-BE49-F238E27FC236}">
              <a16:creationId xmlns:a16="http://schemas.microsoft.com/office/drawing/2014/main" id="{5DE0BB08-6CCF-46EC-A8FA-01DF9B1FCFAA}"/>
            </a:ext>
          </a:extLst>
        </xdr:cNvPr>
        <xdr:cNvSpPr/>
      </xdr:nvSpPr>
      <xdr:spPr>
        <a:xfrm>
          <a:off x="18792730" y="2904357"/>
          <a:ext cx="5262142" cy="2070338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27</xdr:col>
      <xdr:colOff>359932</xdr:colOff>
      <xdr:row>17</xdr:row>
      <xdr:rowOff>68401</xdr:rowOff>
    </xdr:from>
    <xdr:to>
      <xdr:col>29</xdr:col>
      <xdr:colOff>249696</xdr:colOff>
      <xdr:row>19</xdr:row>
      <xdr:rowOff>53032</xdr:rowOff>
    </xdr:to>
    <xdr:sp macro="" textlink="'📋 Datos Generales'!E20">
      <xdr:nvSpPr>
        <xdr:cNvPr id="43" name="Rectángulo: esquinas redondeadas 42">
          <a:extLst>
            <a:ext uri="{FF2B5EF4-FFF2-40B4-BE49-F238E27FC236}">
              <a16:creationId xmlns:a16="http://schemas.microsoft.com/office/drawing/2014/main" id="{16BF60C2-EE84-484C-B809-6478879A192B}"/>
            </a:ext>
          </a:extLst>
        </xdr:cNvPr>
        <xdr:cNvSpPr/>
      </xdr:nvSpPr>
      <xdr:spPr>
        <a:xfrm>
          <a:off x="19113599" y="4005401"/>
          <a:ext cx="1413764" cy="746631"/>
        </a:xfrm>
        <a:prstGeom prst="roundRect">
          <a:avLst/>
        </a:prstGeom>
        <a:solidFill>
          <a:srgbClr val="49769F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3A45D76-ED6D-4B87-8D20-11F06013DBD6}" type="TxLink">
            <a:rPr lang="en-US" sz="2800" b="0" i="0" u="none" strike="noStrike">
              <a:solidFill>
                <a:schemeClr val="bg1"/>
              </a:solidFill>
              <a:latin typeface="Arial"/>
              <a:cs typeface="Arial"/>
            </a:rPr>
            <a:t>6.0%</a:t>
          </a:fld>
          <a:endParaRPr lang="es-PE" sz="85700" b="1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29</xdr:col>
      <xdr:colOff>462608</xdr:colOff>
      <xdr:row>17</xdr:row>
      <xdr:rowOff>62983</xdr:rowOff>
    </xdr:from>
    <xdr:to>
      <xdr:col>31</xdr:col>
      <xdr:colOff>333804</xdr:colOff>
      <xdr:row>19</xdr:row>
      <xdr:rowOff>30620</xdr:rowOff>
    </xdr:to>
    <xdr:sp macro="" textlink="'📋 Datos Generales'!E23">
      <xdr:nvSpPr>
        <xdr:cNvPr id="44" name="Rectángulo: esquinas redondeadas 43">
          <a:extLst>
            <a:ext uri="{FF2B5EF4-FFF2-40B4-BE49-F238E27FC236}">
              <a16:creationId xmlns:a16="http://schemas.microsoft.com/office/drawing/2014/main" id="{9CABE2A8-2223-4569-9905-826BB6FE85C0}"/>
            </a:ext>
          </a:extLst>
        </xdr:cNvPr>
        <xdr:cNvSpPr/>
      </xdr:nvSpPr>
      <xdr:spPr>
        <a:xfrm>
          <a:off x="20740275" y="3999983"/>
          <a:ext cx="1395196" cy="729637"/>
        </a:xfrm>
        <a:prstGeom prst="roundRect">
          <a:avLst/>
        </a:prstGeom>
        <a:solidFill>
          <a:srgbClr val="4E8EA2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A160908-5E14-403C-82D2-1EA20B6DBDBA}" type="TxLink">
            <a:rPr lang="en-US" sz="2800" b="0" i="0" u="none" strike="noStrike">
              <a:solidFill>
                <a:schemeClr val="bg1"/>
              </a:solidFill>
              <a:latin typeface="Arial"/>
              <a:cs typeface="Arial"/>
            </a:rPr>
            <a:t>3.5%</a:t>
          </a:fld>
          <a:endParaRPr lang="es-PE" sz="115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oneCell">
    <xdr:from>
      <xdr:col>7</xdr:col>
      <xdr:colOff>447021</xdr:colOff>
      <xdr:row>21</xdr:row>
      <xdr:rowOff>107876</xdr:rowOff>
    </xdr:from>
    <xdr:to>
      <xdr:col>16</xdr:col>
      <xdr:colOff>671138</xdr:colOff>
      <xdr:row>36</xdr:row>
      <xdr:rowOff>122464</xdr:rowOff>
    </xdr:to>
    <xdr:graphicFrame macro="">
      <xdr:nvGraphicFramePr>
        <xdr:cNvPr id="47" name="Chart 2">
          <a:extLst>
            <a:ext uri="{FF2B5EF4-FFF2-40B4-BE49-F238E27FC236}">
              <a16:creationId xmlns:a16="http://schemas.microsoft.com/office/drawing/2014/main" id="{F2177E3C-B7D9-4C06-93E7-154F06F743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423787</xdr:colOff>
      <xdr:row>14</xdr:row>
      <xdr:rowOff>317671</xdr:rowOff>
    </xdr:from>
    <xdr:to>
      <xdr:col>29</xdr:col>
      <xdr:colOff>246334</xdr:colOff>
      <xdr:row>16</xdr:row>
      <xdr:rowOff>366185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286F366A-8D0F-4879-B0B1-4CD3A4342642}"/>
            </a:ext>
          </a:extLst>
        </xdr:cNvPr>
        <xdr:cNvSpPr txBox="1"/>
      </xdr:nvSpPr>
      <xdr:spPr>
        <a:xfrm>
          <a:off x="19177454" y="3111671"/>
          <a:ext cx="1346547" cy="810514"/>
        </a:xfrm>
        <a:prstGeom prst="rect">
          <a:avLst/>
        </a:prstGeom>
        <a:solidFill>
          <a:srgbClr val="7BBDE8"/>
        </a:solidFill>
        <a:ln w="9525" cmpd="sng">
          <a:noFill/>
        </a:ln>
        <a:effectLst>
          <a:softEdge rad="635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 b="1">
              <a:solidFill>
                <a:schemeClr val="tx1">
                  <a:lumMod val="65000"/>
                  <a:lumOff val="35000"/>
                </a:schemeClr>
              </a:solidFill>
            </a:rPr>
            <a:t>AD VALOREM</a:t>
          </a:r>
        </a:p>
      </xdr:txBody>
    </xdr:sp>
    <xdr:clientData/>
  </xdr:twoCellAnchor>
  <xdr:twoCellAnchor>
    <xdr:from>
      <xdr:col>29</xdr:col>
      <xdr:colOff>472331</xdr:colOff>
      <xdr:row>14</xdr:row>
      <xdr:rowOff>310047</xdr:rowOff>
    </xdr:from>
    <xdr:to>
      <xdr:col>31</xdr:col>
      <xdr:colOff>324774</xdr:colOff>
      <xdr:row>16</xdr:row>
      <xdr:rowOff>347135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7EEE2A2F-6E7A-4E94-A640-35E677AF1865}"/>
            </a:ext>
          </a:extLst>
        </xdr:cNvPr>
        <xdr:cNvSpPr txBox="1"/>
      </xdr:nvSpPr>
      <xdr:spPr>
        <a:xfrm>
          <a:off x="20749998" y="3104047"/>
          <a:ext cx="1376443" cy="799088"/>
        </a:xfrm>
        <a:prstGeom prst="rect">
          <a:avLst/>
        </a:prstGeom>
        <a:solidFill>
          <a:srgbClr val="BDD8E9"/>
        </a:solidFill>
        <a:ln w="9525" cmpd="sng">
          <a:noFill/>
        </a:ln>
        <a:effectLst>
          <a:softEdge rad="635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 b="1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PERCEPCIÓN</a:t>
          </a:r>
        </a:p>
        <a:p>
          <a:pPr algn="ctr"/>
          <a:r>
            <a:rPr lang="es-PE" sz="1400" b="1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(%)</a:t>
          </a:r>
          <a:endParaRPr lang="es-PE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23</xdr:col>
      <xdr:colOff>197164</xdr:colOff>
      <xdr:row>21</xdr:row>
      <xdr:rowOff>151257</xdr:rowOff>
    </xdr:from>
    <xdr:to>
      <xdr:col>28</xdr:col>
      <xdr:colOff>38516</xdr:colOff>
      <xdr:row>36</xdr:row>
      <xdr:rowOff>63117</xdr:rowOff>
    </xdr:to>
    <xdr:sp macro="" textlink="">
      <xdr:nvSpPr>
        <xdr:cNvPr id="52" name="Rectángulo: esquinas redondeadas 51">
          <a:extLst>
            <a:ext uri="{FF2B5EF4-FFF2-40B4-BE49-F238E27FC236}">
              <a16:creationId xmlns:a16="http://schemas.microsoft.com/office/drawing/2014/main" id="{F155E573-B537-421A-8C8E-226B1E2311E3}"/>
            </a:ext>
          </a:extLst>
        </xdr:cNvPr>
        <xdr:cNvSpPr/>
      </xdr:nvSpPr>
      <xdr:spPr>
        <a:xfrm>
          <a:off x="15902831" y="5231257"/>
          <a:ext cx="3651352" cy="2854027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23</xdr:col>
      <xdr:colOff>294267</xdr:colOff>
      <xdr:row>21</xdr:row>
      <xdr:rowOff>156635</xdr:rowOff>
    </xdr:from>
    <xdr:to>
      <xdr:col>27</xdr:col>
      <xdr:colOff>713925</xdr:colOff>
      <xdr:row>36</xdr:row>
      <xdr:rowOff>63117</xdr:rowOff>
    </xdr:to>
    <xdr:graphicFrame macro="">
      <xdr:nvGraphicFramePr>
        <xdr:cNvPr id="54" name="Chart 1">
          <a:extLst>
            <a:ext uri="{FF2B5EF4-FFF2-40B4-BE49-F238E27FC236}">
              <a16:creationId xmlns:a16="http://schemas.microsoft.com/office/drawing/2014/main" id="{339BE93C-18CA-4CF2-9B00-D8BC5A783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297980</xdr:colOff>
      <xdr:row>37</xdr:row>
      <xdr:rowOff>120330</xdr:rowOff>
    </xdr:from>
    <xdr:to>
      <xdr:col>19</xdr:col>
      <xdr:colOff>226541</xdr:colOff>
      <xdr:row>50</xdr:row>
      <xdr:rowOff>97753</xdr:rowOff>
    </xdr:to>
    <xdr:sp macro="" textlink="">
      <xdr:nvSpPr>
        <xdr:cNvPr id="58" name="Rectángulo: esquinas redondeadas 57">
          <a:extLst>
            <a:ext uri="{FF2B5EF4-FFF2-40B4-BE49-F238E27FC236}">
              <a16:creationId xmlns:a16="http://schemas.microsoft.com/office/drawing/2014/main" id="{1E803EEF-BCF3-45D6-826C-96A33B09187F}"/>
            </a:ext>
          </a:extLst>
        </xdr:cNvPr>
        <xdr:cNvSpPr/>
      </xdr:nvSpPr>
      <xdr:spPr>
        <a:xfrm>
          <a:off x="3811647" y="8332997"/>
          <a:ext cx="9072561" cy="2453923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7</xdr:col>
      <xdr:colOff>346913</xdr:colOff>
      <xdr:row>37</xdr:row>
      <xdr:rowOff>148779</xdr:rowOff>
    </xdr:from>
    <xdr:to>
      <xdr:col>19</xdr:col>
      <xdr:colOff>135004</xdr:colOff>
      <xdr:row>50</xdr:row>
      <xdr:rowOff>80435</xdr:rowOff>
    </xdr:to>
    <xdr:graphicFrame macro="">
      <xdr:nvGraphicFramePr>
        <xdr:cNvPr id="59" name="Chart 4">
          <a:extLst>
            <a:ext uri="{FF2B5EF4-FFF2-40B4-BE49-F238E27FC236}">
              <a16:creationId xmlns:a16="http://schemas.microsoft.com/office/drawing/2014/main" id="{316604CD-00D8-4A42-8F6A-359F9C24D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285295</xdr:colOff>
      <xdr:row>51</xdr:row>
      <xdr:rowOff>132389</xdr:rowOff>
    </xdr:from>
    <xdr:to>
      <xdr:col>28</xdr:col>
      <xdr:colOff>3878</xdr:colOff>
      <xdr:row>57</xdr:row>
      <xdr:rowOff>2070652</xdr:rowOff>
    </xdr:to>
    <xdr:sp macro="" textlink="">
      <xdr:nvSpPr>
        <xdr:cNvPr id="60" name="Rectángulo: esquinas redondeadas 59">
          <a:extLst>
            <a:ext uri="{FF2B5EF4-FFF2-40B4-BE49-F238E27FC236}">
              <a16:creationId xmlns:a16="http://schemas.microsoft.com/office/drawing/2014/main" id="{573E8E1B-5269-4D0B-919F-210CC8EB316F}"/>
            </a:ext>
          </a:extLst>
        </xdr:cNvPr>
        <xdr:cNvSpPr/>
      </xdr:nvSpPr>
      <xdr:spPr>
        <a:xfrm>
          <a:off x="3805404" y="10796248"/>
          <a:ext cx="15807550" cy="3056415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7</xdr:col>
      <xdr:colOff>471471</xdr:colOff>
      <xdr:row>52</xdr:row>
      <xdr:rowOff>28480</xdr:rowOff>
    </xdr:from>
    <xdr:to>
      <xdr:col>27</xdr:col>
      <xdr:colOff>454152</xdr:colOff>
      <xdr:row>57</xdr:row>
      <xdr:rowOff>1967119</xdr:rowOff>
    </xdr:to>
    <xdr:graphicFrame macro="">
      <xdr:nvGraphicFramePr>
        <xdr:cNvPr id="61" name="Chart 6">
          <a:extLst>
            <a:ext uri="{FF2B5EF4-FFF2-40B4-BE49-F238E27FC236}">
              <a16:creationId xmlns:a16="http://schemas.microsoft.com/office/drawing/2014/main" id="{475A441F-44B3-4253-AA70-F66D4B947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552477</xdr:colOff>
      <xdr:row>17</xdr:row>
      <xdr:rowOff>42335</xdr:rowOff>
    </xdr:from>
    <xdr:to>
      <xdr:col>33</xdr:col>
      <xdr:colOff>406578</xdr:colOff>
      <xdr:row>19</xdr:row>
      <xdr:rowOff>30620</xdr:rowOff>
    </xdr:to>
    <xdr:sp macro="" textlink="'📋 Datos Generales'!E19">
      <xdr:nvSpPr>
        <xdr:cNvPr id="38" name="Rectángulo: esquinas redondeadas 37">
          <a:extLst>
            <a:ext uri="{FF2B5EF4-FFF2-40B4-BE49-F238E27FC236}">
              <a16:creationId xmlns:a16="http://schemas.microsoft.com/office/drawing/2014/main" id="{D85908D5-5DA4-4EB5-B20A-50D79DFFD389}"/>
            </a:ext>
          </a:extLst>
        </xdr:cNvPr>
        <xdr:cNvSpPr/>
      </xdr:nvSpPr>
      <xdr:spPr>
        <a:xfrm>
          <a:off x="22354144" y="3979335"/>
          <a:ext cx="1378101" cy="750285"/>
        </a:xfrm>
        <a:prstGeom prst="roundRect">
          <a:avLst/>
        </a:prstGeom>
        <a:solidFill>
          <a:srgbClr val="49769F"/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666BEE7-8F27-46E6-947A-808FC263E594}" type="TxLink">
            <a:rPr lang="en-US" sz="2800" b="0" i="0" u="none" strike="noStrike">
              <a:solidFill>
                <a:schemeClr val="bg1"/>
              </a:solidFill>
              <a:latin typeface="Arial"/>
              <a:cs typeface="Arial"/>
            </a:rPr>
            <a:t>3.720</a:t>
          </a:fld>
          <a:endParaRPr lang="es-PE" sz="11500" b="0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31</xdr:col>
      <xdr:colOff>616127</xdr:colOff>
      <xdr:row>14</xdr:row>
      <xdr:rowOff>284992</xdr:rowOff>
    </xdr:from>
    <xdr:to>
      <xdr:col>33</xdr:col>
      <xdr:colOff>347187</xdr:colOff>
      <xdr:row>16</xdr:row>
      <xdr:rowOff>318559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F95023B3-11C4-4961-A816-E850AEB1B011}"/>
            </a:ext>
          </a:extLst>
        </xdr:cNvPr>
        <xdr:cNvSpPr txBox="1"/>
      </xdr:nvSpPr>
      <xdr:spPr>
        <a:xfrm>
          <a:off x="22417794" y="3078992"/>
          <a:ext cx="1255060" cy="795567"/>
        </a:xfrm>
        <a:prstGeom prst="rect">
          <a:avLst/>
        </a:prstGeom>
        <a:solidFill>
          <a:srgbClr val="ACBBC8"/>
        </a:solidFill>
        <a:ln w="9525" cmpd="sng">
          <a:noFill/>
        </a:ln>
        <a:effectLst>
          <a:softEdge rad="635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TIPO DE</a:t>
          </a:r>
          <a:endParaRPr lang="es-PE" sz="1400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pPr algn="ctr"/>
          <a:r>
            <a:rPr lang="es-PE" sz="14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CAMBIO</a:t>
          </a:r>
          <a:endParaRPr lang="es-PE" sz="1400"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twoCellAnchor>
  <xdr:twoCellAnchor>
    <xdr:from>
      <xdr:col>17</xdr:col>
      <xdr:colOff>400962</xdr:colOff>
      <xdr:row>21</xdr:row>
      <xdr:rowOff>144082</xdr:rowOff>
    </xdr:from>
    <xdr:to>
      <xdr:col>22</xdr:col>
      <xdr:colOff>610015</xdr:colOff>
      <xdr:row>36</xdr:row>
      <xdr:rowOff>63117</xdr:rowOff>
    </xdr:to>
    <xdr:sp macro="" textlink="">
      <xdr:nvSpPr>
        <xdr:cNvPr id="63" name="Rectángulo: esquinas redondeadas 62">
          <a:extLst>
            <a:ext uri="{FF2B5EF4-FFF2-40B4-BE49-F238E27FC236}">
              <a16:creationId xmlns:a16="http://schemas.microsoft.com/office/drawing/2014/main" id="{13F17363-B870-4DA4-8557-CE6AB0C67FEB}"/>
            </a:ext>
          </a:extLst>
        </xdr:cNvPr>
        <xdr:cNvSpPr/>
      </xdr:nvSpPr>
      <xdr:spPr>
        <a:xfrm>
          <a:off x="11534629" y="5224082"/>
          <a:ext cx="4019053" cy="2861202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17</xdr:col>
      <xdr:colOff>403436</xdr:colOff>
      <xdr:row>21</xdr:row>
      <xdr:rowOff>149709</xdr:rowOff>
    </xdr:from>
    <xdr:to>
      <xdr:col>22</xdr:col>
      <xdr:colOff>471470</xdr:colOff>
      <xdr:row>36</xdr:row>
      <xdr:rowOff>63117</xdr:rowOff>
    </xdr:to>
    <xdr:graphicFrame macro="">
      <xdr:nvGraphicFramePr>
        <xdr:cNvPr id="55" name="Chart 3">
          <a:extLst>
            <a:ext uri="{FF2B5EF4-FFF2-40B4-BE49-F238E27FC236}">
              <a16:creationId xmlns:a16="http://schemas.microsoft.com/office/drawing/2014/main" id="{B4D242D9-3899-4007-BC45-7497B58F5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350059</xdr:colOff>
      <xdr:row>21</xdr:row>
      <xdr:rowOff>139932</xdr:rowOff>
    </xdr:from>
    <xdr:to>
      <xdr:col>33</xdr:col>
      <xdr:colOff>736439</xdr:colOff>
      <xdr:row>47</xdr:row>
      <xdr:rowOff>163993</xdr:rowOff>
    </xdr:to>
    <xdr:sp macro="" textlink="">
      <xdr:nvSpPr>
        <xdr:cNvPr id="65" name="Rectángulo: esquinas redondeadas 64">
          <a:extLst>
            <a:ext uri="{FF2B5EF4-FFF2-40B4-BE49-F238E27FC236}">
              <a16:creationId xmlns:a16="http://schemas.microsoft.com/office/drawing/2014/main" id="{7BE1292F-D1AC-4C35-96FF-D21AA850F6D1}"/>
            </a:ext>
          </a:extLst>
        </xdr:cNvPr>
        <xdr:cNvSpPr/>
      </xdr:nvSpPr>
      <xdr:spPr>
        <a:xfrm>
          <a:off x="19865726" y="5219932"/>
          <a:ext cx="4196380" cy="5061728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28</xdr:col>
      <xdr:colOff>576309</xdr:colOff>
      <xdr:row>21</xdr:row>
      <xdr:rowOff>141229</xdr:rowOff>
    </xdr:from>
    <xdr:to>
      <xdr:col>33</xdr:col>
      <xdr:colOff>523425</xdr:colOff>
      <xdr:row>47</xdr:row>
      <xdr:rowOff>97751</xdr:rowOff>
    </xdr:to>
    <xdr:graphicFrame macro="">
      <xdr:nvGraphicFramePr>
        <xdr:cNvPr id="66" name="Chart 5">
          <a:extLst>
            <a:ext uri="{FF2B5EF4-FFF2-40B4-BE49-F238E27FC236}">
              <a16:creationId xmlns:a16="http://schemas.microsoft.com/office/drawing/2014/main" id="{68A25A74-B778-44AB-A22B-0958EE83E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19</xdr:col>
      <xdr:colOff>676624</xdr:colOff>
      <xdr:row>37</xdr:row>
      <xdr:rowOff>184344</xdr:rowOff>
    </xdr:from>
    <xdr:to>
      <xdr:col>28</xdr:col>
      <xdr:colOff>139095</xdr:colOff>
      <xdr:row>50</xdr:row>
      <xdr:rowOff>76039</xdr:rowOff>
    </xdr:to>
    <xdr:graphicFrame macro="">
      <xdr:nvGraphicFramePr>
        <xdr:cNvPr id="68" name="Chart 7">
          <a:extLst>
            <a:ext uri="{FF2B5EF4-FFF2-40B4-BE49-F238E27FC236}">
              <a16:creationId xmlns:a16="http://schemas.microsoft.com/office/drawing/2014/main" id="{D6711EEF-927E-470F-8077-CE426E5161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356738</xdr:colOff>
      <xdr:row>49</xdr:row>
      <xdr:rowOff>43820</xdr:rowOff>
    </xdr:from>
    <xdr:to>
      <xdr:col>34</xdr:col>
      <xdr:colOff>10375</xdr:colOff>
      <xdr:row>57</xdr:row>
      <xdr:rowOff>2070652</xdr:rowOff>
    </xdr:to>
    <xdr:sp macro="" textlink="">
      <xdr:nvSpPr>
        <xdr:cNvPr id="75" name="Rectángulo: esquinas redondeadas 74">
          <a:extLst>
            <a:ext uri="{FF2B5EF4-FFF2-40B4-BE49-F238E27FC236}">
              <a16:creationId xmlns:a16="http://schemas.microsoft.com/office/drawing/2014/main" id="{A0DEACF8-BFC0-445D-BCF2-41D86AA44D99}"/>
            </a:ext>
          </a:extLst>
        </xdr:cNvPr>
        <xdr:cNvSpPr/>
      </xdr:nvSpPr>
      <xdr:spPr>
        <a:xfrm>
          <a:off x="19965814" y="10334961"/>
          <a:ext cx="4250485" cy="3517702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28</xdr:col>
      <xdr:colOff>459103</xdr:colOff>
      <xdr:row>49</xdr:row>
      <xdr:rowOff>175682</xdr:rowOff>
    </xdr:from>
    <xdr:to>
      <xdr:col>33</xdr:col>
      <xdr:colOff>592697</xdr:colOff>
      <xdr:row>57</xdr:row>
      <xdr:rowOff>1987826</xdr:rowOff>
    </xdr:to>
    <xdr:graphicFrame macro="">
      <xdr:nvGraphicFramePr>
        <xdr:cNvPr id="76" name="Chart 8">
          <a:extLst>
            <a:ext uri="{FF2B5EF4-FFF2-40B4-BE49-F238E27FC236}">
              <a16:creationId xmlns:a16="http://schemas.microsoft.com/office/drawing/2014/main" id="{A1679321-70AD-4F64-8F13-C219E1C0B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454877</xdr:colOff>
      <xdr:row>14</xdr:row>
      <xdr:rowOff>261970</xdr:rowOff>
    </xdr:from>
    <xdr:to>
      <xdr:col>9</xdr:col>
      <xdr:colOff>629634</xdr:colOff>
      <xdr:row>16</xdr:row>
      <xdr:rowOff>214655</xdr:rowOff>
    </xdr:to>
    <xdr:sp macro="" textlink="'🧮 Costos x Producto'!I4:K4">
      <xdr:nvSpPr>
        <xdr:cNvPr id="97" name="Rectángulo: esquinas redondeadas 96">
          <a:extLst>
            <a:ext uri="{FF2B5EF4-FFF2-40B4-BE49-F238E27FC236}">
              <a16:creationId xmlns:a16="http://schemas.microsoft.com/office/drawing/2014/main" id="{6BE4AE38-017C-44F7-8A62-205F1A03158B}"/>
            </a:ext>
          </a:extLst>
        </xdr:cNvPr>
        <xdr:cNvSpPr/>
      </xdr:nvSpPr>
      <xdr:spPr>
        <a:xfrm>
          <a:off x="3968544" y="3055970"/>
          <a:ext cx="1698757" cy="71468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📦VALOR  CIF</a:t>
          </a:r>
          <a:endParaRPr lang="es-PE" sz="24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pPr algn="ctr"/>
          <a:r>
            <a:rPr lang="es-PE" sz="16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(US$)</a:t>
          </a:r>
          <a:endParaRPr lang="es-PE" sz="24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twoCellAnchor>
  <xdr:twoCellAnchor>
    <xdr:from>
      <xdr:col>10</xdr:col>
      <xdr:colOff>61373</xdr:colOff>
      <xdr:row>14</xdr:row>
      <xdr:rowOff>246281</xdr:rowOff>
    </xdr:from>
    <xdr:to>
      <xdr:col>12</xdr:col>
      <xdr:colOff>211048</xdr:colOff>
      <xdr:row>16</xdr:row>
      <xdr:rowOff>199396</xdr:rowOff>
    </xdr:to>
    <xdr:sp macro="" textlink="'🧾 Tributos Aduana'!F14">
      <xdr:nvSpPr>
        <xdr:cNvPr id="98" name="Rectángulo: esquinas redondeadas 97">
          <a:extLst>
            <a:ext uri="{FF2B5EF4-FFF2-40B4-BE49-F238E27FC236}">
              <a16:creationId xmlns:a16="http://schemas.microsoft.com/office/drawing/2014/main" id="{AD670121-7EB3-4D21-B45F-B8783AB2887D}"/>
            </a:ext>
          </a:extLst>
        </xdr:cNvPr>
        <xdr:cNvSpPr/>
      </xdr:nvSpPr>
      <xdr:spPr>
        <a:xfrm>
          <a:off x="5861040" y="3040281"/>
          <a:ext cx="1673675" cy="71511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💰 COSTO TOTAL</a:t>
          </a:r>
          <a:endParaRPr lang="es-PE" sz="32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pPr algn="ctr"/>
          <a:r>
            <a:rPr lang="es-PE" sz="11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IMPORTACIÓN</a:t>
          </a:r>
          <a:endParaRPr lang="es-PE" sz="32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pPr algn="ctr"/>
          <a:r>
            <a:rPr lang="es-PE" sz="11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  (US$.)</a:t>
          </a:r>
          <a:endParaRPr lang="es-PE" sz="32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twoCellAnchor>
  <xdr:twoCellAnchor>
    <xdr:from>
      <xdr:col>12</xdr:col>
      <xdr:colOff>443583</xdr:colOff>
      <xdr:row>14</xdr:row>
      <xdr:rowOff>246281</xdr:rowOff>
    </xdr:from>
    <xdr:to>
      <xdr:col>14</xdr:col>
      <xdr:colOff>447511</xdr:colOff>
      <xdr:row>16</xdr:row>
      <xdr:rowOff>210602</xdr:rowOff>
    </xdr:to>
    <xdr:sp macro="" textlink="'🧾 Tributos Aduana'!O37">
      <xdr:nvSpPr>
        <xdr:cNvPr id="99" name="Rectángulo: esquinas redondeadas 98">
          <a:extLst>
            <a:ext uri="{FF2B5EF4-FFF2-40B4-BE49-F238E27FC236}">
              <a16:creationId xmlns:a16="http://schemas.microsoft.com/office/drawing/2014/main" id="{5A05DC6C-0EE4-4AA3-893C-0ABE19C74417}"/>
            </a:ext>
          </a:extLst>
        </xdr:cNvPr>
        <xdr:cNvSpPr/>
      </xdr:nvSpPr>
      <xdr:spPr>
        <a:xfrm>
          <a:off x="7767250" y="3040281"/>
          <a:ext cx="1527928" cy="726321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2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⚖️ ADV ARANCEL</a:t>
          </a:r>
          <a:endParaRPr lang="es-PE" sz="36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pPr algn="ctr"/>
          <a:r>
            <a:rPr lang="es-PE" sz="12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(US$)</a:t>
          </a:r>
          <a:endParaRPr lang="es-PE" sz="36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twoCellAnchor>
  <xdr:twoCellAnchor>
    <xdr:from>
      <xdr:col>14</xdr:col>
      <xdr:colOff>688705</xdr:colOff>
      <xdr:row>14</xdr:row>
      <xdr:rowOff>265087</xdr:rowOff>
    </xdr:from>
    <xdr:to>
      <xdr:col>16</xdr:col>
      <xdr:colOff>729353</xdr:colOff>
      <xdr:row>16</xdr:row>
      <xdr:rowOff>199399</xdr:rowOff>
    </xdr:to>
    <xdr:sp macro="" textlink="'🧾 Tributos Aduana'!AE53">
      <xdr:nvSpPr>
        <xdr:cNvPr id="101" name="Rectángulo: esquinas redondeadas 100">
          <a:extLst>
            <a:ext uri="{FF2B5EF4-FFF2-40B4-BE49-F238E27FC236}">
              <a16:creationId xmlns:a16="http://schemas.microsoft.com/office/drawing/2014/main" id="{A47E3F40-6109-4696-B42B-6DCB3B2194DA}"/>
            </a:ext>
          </a:extLst>
        </xdr:cNvPr>
        <xdr:cNvSpPr/>
      </xdr:nvSpPr>
      <xdr:spPr>
        <a:xfrm>
          <a:off x="9536372" y="3059087"/>
          <a:ext cx="1564648" cy="696312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📋 DEUDA </a:t>
          </a:r>
          <a:endParaRPr lang="es-PE" sz="32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pPr algn="ctr"/>
          <a:r>
            <a:rPr lang="es-PE" sz="11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ADUANERA</a:t>
          </a:r>
          <a:endParaRPr lang="es-PE" sz="32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pPr algn="ctr"/>
          <a:r>
            <a:rPr lang="es-PE" sz="11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(US$)</a:t>
          </a:r>
          <a:endParaRPr lang="es-PE" sz="32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twoCellAnchor>
  <xdr:twoCellAnchor>
    <xdr:from>
      <xdr:col>17</xdr:col>
      <xdr:colOff>205666</xdr:colOff>
      <xdr:row>14</xdr:row>
      <xdr:rowOff>257488</xdr:rowOff>
    </xdr:from>
    <xdr:to>
      <xdr:col>19</xdr:col>
      <xdr:colOff>215944</xdr:colOff>
      <xdr:row>16</xdr:row>
      <xdr:rowOff>199657</xdr:rowOff>
    </xdr:to>
    <xdr:sp macro="" textlink="'📊 Dashboard'!I5">
      <xdr:nvSpPr>
        <xdr:cNvPr id="103" name="Rectángulo: esquinas redondeadas 102">
          <a:extLst>
            <a:ext uri="{FF2B5EF4-FFF2-40B4-BE49-F238E27FC236}">
              <a16:creationId xmlns:a16="http://schemas.microsoft.com/office/drawing/2014/main" id="{4CA12FD4-6BDB-45AF-A816-75BE23ACB709}"/>
            </a:ext>
          </a:extLst>
        </xdr:cNvPr>
        <xdr:cNvSpPr/>
      </xdr:nvSpPr>
      <xdr:spPr>
        <a:xfrm>
          <a:off x="11339333" y="3051488"/>
          <a:ext cx="1534278" cy="70416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4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💹 INGRESOS EST. TOTALES (S/.)</a:t>
          </a:r>
          <a:endParaRPr lang="es-PE" sz="24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twoCellAnchor>
  <xdr:twoCellAnchor>
    <xdr:from>
      <xdr:col>19</xdr:col>
      <xdr:colOff>467660</xdr:colOff>
      <xdr:row>14</xdr:row>
      <xdr:rowOff>272578</xdr:rowOff>
    </xdr:from>
    <xdr:to>
      <xdr:col>21</xdr:col>
      <xdr:colOff>501957</xdr:colOff>
      <xdr:row>16</xdr:row>
      <xdr:rowOff>188451</xdr:rowOff>
    </xdr:to>
    <xdr:sp macro="" textlink="'🏦 Crédito Fiscal'!$C$16">
      <xdr:nvSpPr>
        <xdr:cNvPr id="104" name="Rectángulo: esquinas redondeadas 103">
          <a:extLst>
            <a:ext uri="{FF2B5EF4-FFF2-40B4-BE49-F238E27FC236}">
              <a16:creationId xmlns:a16="http://schemas.microsoft.com/office/drawing/2014/main" id="{34FDE84B-BD3B-49C6-9B65-4EE1510D9058}"/>
            </a:ext>
          </a:extLst>
        </xdr:cNvPr>
        <xdr:cNvSpPr/>
      </xdr:nvSpPr>
      <xdr:spPr>
        <a:xfrm>
          <a:off x="13125327" y="3066578"/>
          <a:ext cx="1558297" cy="677873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4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🏦 CRÉDITO</a:t>
          </a:r>
          <a:endParaRPr lang="es-PE" sz="28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pPr algn="ctr"/>
          <a:r>
            <a:rPr lang="es-PE" sz="14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FISCAL (US$)</a:t>
          </a:r>
          <a:endParaRPr lang="es-PE" sz="28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twoCellAnchor>
  <xdr:twoCellAnchor>
    <xdr:from>
      <xdr:col>21</xdr:col>
      <xdr:colOff>748569</xdr:colOff>
      <xdr:row>14</xdr:row>
      <xdr:rowOff>254139</xdr:rowOff>
    </xdr:from>
    <xdr:to>
      <xdr:col>23</xdr:col>
      <xdr:colOff>758845</xdr:colOff>
      <xdr:row>16</xdr:row>
      <xdr:rowOff>199399</xdr:rowOff>
    </xdr:to>
    <xdr:sp macro="" textlink="'📊 Dashboard'!K5">
      <xdr:nvSpPr>
        <xdr:cNvPr id="105" name="Rectángulo: esquinas redondeadas 104">
          <a:extLst>
            <a:ext uri="{FF2B5EF4-FFF2-40B4-BE49-F238E27FC236}">
              <a16:creationId xmlns:a16="http://schemas.microsoft.com/office/drawing/2014/main" id="{5FF35FF2-150B-484E-B0B6-B98301710167}"/>
            </a:ext>
          </a:extLst>
        </xdr:cNvPr>
        <xdr:cNvSpPr/>
      </xdr:nvSpPr>
      <xdr:spPr>
        <a:xfrm>
          <a:off x="14930236" y="3048139"/>
          <a:ext cx="1534276" cy="70726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📈 MARGEN</a:t>
          </a:r>
          <a:endParaRPr lang="es-PE" sz="24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pPr algn="ctr"/>
          <a:r>
            <a:rPr lang="es-PE" sz="16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GLOBAL (%)</a:t>
          </a:r>
          <a:endParaRPr lang="es-PE" sz="24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twoCellAnchor>
  <xdr:twoCellAnchor>
    <xdr:from>
      <xdr:col>24</xdr:col>
      <xdr:colOff>265564</xdr:colOff>
      <xdr:row>14</xdr:row>
      <xdr:rowOff>242678</xdr:rowOff>
    </xdr:from>
    <xdr:to>
      <xdr:col>26</xdr:col>
      <xdr:colOff>306212</xdr:colOff>
      <xdr:row>16</xdr:row>
      <xdr:rowOff>166041</xdr:rowOff>
    </xdr:to>
    <xdr:sp macro="" textlink="'🧾 Tributos Aduana'!F23">
      <xdr:nvSpPr>
        <xdr:cNvPr id="106" name="Rectángulo: esquinas redondeadas 105">
          <a:extLst>
            <a:ext uri="{FF2B5EF4-FFF2-40B4-BE49-F238E27FC236}">
              <a16:creationId xmlns:a16="http://schemas.microsoft.com/office/drawing/2014/main" id="{13EFFCF7-F7BC-419D-B425-C1A861E56536}"/>
            </a:ext>
          </a:extLst>
        </xdr:cNvPr>
        <xdr:cNvSpPr/>
      </xdr:nvSpPr>
      <xdr:spPr>
        <a:xfrm>
          <a:off x="16733231" y="3036678"/>
          <a:ext cx="1564648" cy="685363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50800" dir="5400000" algn="ctr" rotWithShape="0">
            <a:srgbClr val="000000"/>
          </a:outerShdw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4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🎯 PERCEPCIÓN</a:t>
          </a:r>
          <a:endParaRPr lang="es-PE" sz="40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  <a:p>
          <a:pPr algn="ctr"/>
          <a:r>
            <a:rPr lang="es-PE" sz="140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IGV (US$)</a:t>
          </a:r>
          <a:endParaRPr lang="es-PE" sz="4000" b="1"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twoCellAnchor>
  <xdr:twoCellAnchor editAs="oneCell">
    <xdr:from>
      <xdr:col>1</xdr:col>
      <xdr:colOff>648783</xdr:colOff>
      <xdr:row>0</xdr:row>
      <xdr:rowOff>137464</xdr:rowOff>
    </xdr:from>
    <xdr:to>
      <xdr:col>3</xdr:col>
      <xdr:colOff>153005</xdr:colOff>
      <xdr:row>3</xdr:row>
      <xdr:rowOff>169597</xdr:rowOff>
    </xdr:to>
    <xdr:pic>
      <xdr:nvPicPr>
        <xdr:cNvPr id="108" name="Gráfico 107" descr="Signo de intercalación hacia la derecha con relleno sólido">
          <a:extLst>
            <a:ext uri="{FF2B5EF4-FFF2-40B4-BE49-F238E27FC236}">
              <a16:creationId xmlns:a16="http://schemas.microsoft.com/office/drawing/2014/main" id="{E624D61F-3317-39F6-E8F3-53C6205C7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125033" y="137464"/>
          <a:ext cx="599597" cy="603633"/>
        </a:xfrm>
        <a:prstGeom prst="rect">
          <a:avLst/>
        </a:prstGeom>
      </xdr:spPr>
    </xdr:pic>
    <xdr:clientData/>
  </xdr:twoCellAnchor>
  <xdr:twoCellAnchor editAs="oneCell">
    <xdr:from>
      <xdr:col>2</xdr:col>
      <xdr:colOff>75933</xdr:colOff>
      <xdr:row>0</xdr:row>
      <xdr:rowOff>135784</xdr:rowOff>
    </xdr:from>
    <xdr:to>
      <xdr:col>3</xdr:col>
      <xdr:colOff>349682</xdr:colOff>
      <xdr:row>3</xdr:row>
      <xdr:rowOff>167918</xdr:rowOff>
    </xdr:to>
    <xdr:pic>
      <xdr:nvPicPr>
        <xdr:cNvPr id="109" name="Gráfico 108" descr="Signo de intercalación hacia la derecha con relleno sólido">
          <a:extLst>
            <a:ext uri="{FF2B5EF4-FFF2-40B4-BE49-F238E27FC236}">
              <a16:creationId xmlns:a16="http://schemas.microsoft.com/office/drawing/2014/main" id="{0868855F-EFAE-47F6-A1F6-6F7104D4E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14183" y="135784"/>
          <a:ext cx="607124" cy="603634"/>
        </a:xfrm>
        <a:prstGeom prst="rect">
          <a:avLst/>
        </a:prstGeom>
      </xdr:spPr>
    </xdr:pic>
    <xdr:clientData/>
  </xdr:twoCellAnchor>
  <xdr:twoCellAnchor editAs="oneCell">
    <xdr:from>
      <xdr:col>2</xdr:col>
      <xdr:colOff>287546</xdr:colOff>
      <xdr:row>0</xdr:row>
      <xdr:rowOff>143905</xdr:rowOff>
    </xdr:from>
    <xdr:to>
      <xdr:col>3</xdr:col>
      <xdr:colOff>547686</xdr:colOff>
      <xdr:row>3</xdr:row>
      <xdr:rowOff>176038</xdr:rowOff>
    </xdr:to>
    <xdr:pic>
      <xdr:nvPicPr>
        <xdr:cNvPr id="110" name="Gráfico 109" descr="Signo de intercalación hacia la derecha con relleno sólido">
          <a:extLst>
            <a:ext uri="{FF2B5EF4-FFF2-40B4-BE49-F238E27FC236}">
              <a16:creationId xmlns:a16="http://schemas.microsoft.com/office/drawing/2014/main" id="{A0F8F319-409F-4E6F-97B0-4F24F6AD6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525796" y="143905"/>
          <a:ext cx="593515" cy="603633"/>
        </a:xfrm>
        <a:prstGeom prst="rect">
          <a:avLst/>
        </a:prstGeom>
      </xdr:spPr>
    </xdr:pic>
    <xdr:clientData/>
  </xdr:twoCellAnchor>
  <xdr:twoCellAnchor editAs="oneCell">
    <xdr:from>
      <xdr:col>34</xdr:col>
      <xdr:colOff>268866</xdr:colOff>
      <xdr:row>0</xdr:row>
      <xdr:rowOff>0</xdr:rowOff>
    </xdr:from>
    <xdr:to>
      <xdr:col>35</xdr:col>
      <xdr:colOff>212168</xdr:colOff>
      <xdr:row>3</xdr:row>
      <xdr:rowOff>116571</xdr:rowOff>
    </xdr:to>
    <xdr:pic>
      <xdr:nvPicPr>
        <xdr:cNvPr id="112" name="Gráfico 111" descr="Hogar contorno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EF830CD-DB65-60AE-3346-8D5AD5D8A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4386166" y="0"/>
          <a:ext cx="705302" cy="688071"/>
        </a:xfrm>
        <a:prstGeom prst="rect">
          <a:avLst/>
        </a:prstGeom>
      </xdr:spPr>
    </xdr:pic>
    <xdr:clientData/>
  </xdr:twoCellAnchor>
  <xdr:twoCellAnchor>
    <xdr:from>
      <xdr:col>7</xdr:col>
      <xdr:colOff>467776</xdr:colOff>
      <xdr:row>18</xdr:row>
      <xdr:rowOff>201866</xdr:rowOff>
    </xdr:from>
    <xdr:to>
      <xdr:col>7</xdr:col>
      <xdr:colOff>467776</xdr:colOff>
      <xdr:row>18</xdr:row>
      <xdr:rowOff>201866</xdr:rowOff>
    </xdr:to>
    <xdr:cxnSp macro="">
      <xdr:nvCxnSpPr>
        <xdr:cNvPr id="81" name="Conector recto 80">
          <a:extLst>
            <a:ext uri="{FF2B5EF4-FFF2-40B4-BE49-F238E27FC236}">
              <a16:creationId xmlns:a16="http://schemas.microsoft.com/office/drawing/2014/main" id="{8104F7C6-363E-4D00-94EC-9A6D5BFF5302}"/>
            </a:ext>
          </a:extLst>
        </xdr:cNvPr>
        <xdr:cNvCxnSpPr>
          <a:cxnSpLocks/>
        </xdr:cNvCxnSpPr>
      </xdr:nvCxnSpPr>
      <xdr:spPr>
        <a:xfrm>
          <a:off x="3981443" y="4519866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71438</xdr:colOff>
      <xdr:row>57</xdr:row>
      <xdr:rowOff>109478</xdr:rowOff>
    </xdr:from>
    <xdr:to>
      <xdr:col>5</xdr:col>
      <xdr:colOff>74261</xdr:colOff>
      <xdr:row>57</xdr:row>
      <xdr:rowOff>2153478</xdr:rowOff>
    </xdr:to>
    <xdr:sp macro="" textlink="">
      <xdr:nvSpPr>
        <xdr:cNvPr id="6" name="Rectángulo: esquinas redondeadas 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D480D5F-61EA-4A7C-87D1-AA434991BE71}"/>
            </a:ext>
          </a:extLst>
        </xdr:cNvPr>
        <xdr:cNvSpPr/>
      </xdr:nvSpPr>
      <xdr:spPr>
        <a:xfrm>
          <a:off x="1645134" y="11891489"/>
          <a:ext cx="955323" cy="2044000"/>
        </a:xfrm>
        <a:prstGeom prst="roundRect">
          <a:avLst>
            <a:gd name="adj" fmla="val 0"/>
          </a:avLst>
        </a:prstGeom>
        <a:solidFill>
          <a:srgbClr val="ACBBC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CRÉDITO</a:t>
          </a:r>
          <a:r>
            <a:rPr lang="es-PE" sz="1800" b="1" baseline="0">
              <a:solidFill>
                <a:sysClr val="windowText" lastClr="000000"/>
              </a:solidFill>
            </a:rPr>
            <a:t> FISCAL</a:t>
          </a:r>
          <a:endParaRPr lang="es-PE" sz="4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74011</xdr:colOff>
      <xdr:row>42</xdr:row>
      <xdr:rowOff>184</xdr:rowOff>
    </xdr:from>
    <xdr:to>
      <xdr:col>5</xdr:col>
      <xdr:colOff>27249</xdr:colOff>
      <xdr:row>57</xdr:row>
      <xdr:rowOff>100203</xdr:rowOff>
    </xdr:to>
    <xdr:sp macro="" textlink="">
      <xdr:nvSpPr>
        <xdr:cNvPr id="7" name="Rectángulo: esquinas redondeadas 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0050350-D378-44A4-B345-90E1FD072A77}"/>
            </a:ext>
          </a:extLst>
        </xdr:cNvPr>
        <xdr:cNvSpPr/>
      </xdr:nvSpPr>
      <xdr:spPr>
        <a:xfrm>
          <a:off x="1640344" y="9165351"/>
          <a:ext cx="905738" cy="2957519"/>
        </a:xfrm>
        <a:prstGeom prst="roundRect">
          <a:avLst>
            <a:gd name="adj" fmla="val 0"/>
          </a:avLst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2400" b="0">
              <a:solidFill>
                <a:schemeClr val="bg1"/>
              </a:solidFill>
            </a:rPr>
            <a:t>PRECIO DE VENTA</a:t>
          </a:r>
          <a:endParaRPr lang="es-PE" sz="4800" b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74011</xdr:colOff>
      <xdr:row>14</xdr:row>
      <xdr:rowOff>88021</xdr:rowOff>
    </xdr:from>
    <xdr:to>
      <xdr:col>6</xdr:col>
      <xdr:colOff>7336</xdr:colOff>
      <xdr:row>26</xdr:row>
      <xdr:rowOff>198185</xdr:rowOff>
    </xdr:to>
    <xdr:sp macro="" textlink="">
      <xdr:nvSpPr>
        <xdr:cNvPr id="8" name="Rectángulo: esquinas redondeadas 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5C62A4D-2A0D-4581-998A-2BB66D9F31AB}"/>
            </a:ext>
          </a:extLst>
        </xdr:cNvPr>
        <xdr:cNvSpPr/>
      </xdr:nvSpPr>
      <xdr:spPr>
        <a:xfrm>
          <a:off x="1640344" y="2882021"/>
          <a:ext cx="970492" cy="3327497"/>
        </a:xfrm>
        <a:prstGeom prst="roundRect">
          <a:avLst>
            <a:gd name="adj" fmla="val 0"/>
          </a:avLst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2000" b="0">
              <a:solidFill>
                <a:sysClr val="windowText" lastClr="000000"/>
              </a:solidFill>
            </a:rPr>
            <a:t>TRIBUTOS</a:t>
          </a:r>
          <a:r>
            <a:rPr lang="es-PE" sz="2000" b="0" baseline="0">
              <a:solidFill>
                <a:sysClr val="windowText" lastClr="000000"/>
              </a:solidFill>
            </a:rPr>
            <a:t> DE ADUANA</a:t>
          </a:r>
          <a:endParaRPr lang="es-PE" sz="44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74011</xdr:colOff>
      <xdr:row>26</xdr:row>
      <xdr:rowOff>179624</xdr:rowOff>
    </xdr:from>
    <xdr:to>
      <xdr:col>5</xdr:col>
      <xdr:colOff>66479</xdr:colOff>
      <xdr:row>41</xdr:row>
      <xdr:rowOff>173112</xdr:rowOff>
    </xdr:to>
    <xdr:sp macro="" textlink="">
      <xdr:nvSpPr>
        <xdr:cNvPr id="9" name="Rectángulo: esquinas redondeadas 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9B8974A-32E8-40F1-B0C6-17E0D9E26908}"/>
            </a:ext>
          </a:extLst>
        </xdr:cNvPr>
        <xdr:cNvSpPr/>
      </xdr:nvSpPr>
      <xdr:spPr>
        <a:xfrm>
          <a:off x="1640344" y="6190957"/>
          <a:ext cx="944968" cy="2956822"/>
        </a:xfrm>
        <a:prstGeom prst="roundRect">
          <a:avLst>
            <a:gd name="adj" fmla="val 0"/>
          </a:avLst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chemeClr val="bg1"/>
              </a:solidFill>
            </a:rPr>
            <a:t>COSTO DEL PRODUCTO</a:t>
          </a:r>
        </a:p>
      </xdr:txBody>
    </xdr:sp>
    <xdr:clientData/>
  </xdr:twoCellAnchor>
  <xdr:twoCellAnchor>
    <xdr:from>
      <xdr:col>6</xdr:col>
      <xdr:colOff>799007</xdr:colOff>
      <xdr:row>11</xdr:row>
      <xdr:rowOff>47625</xdr:rowOff>
    </xdr:from>
    <xdr:to>
      <xdr:col>6</xdr:col>
      <xdr:colOff>799007</xdr:colOff>
      <xdr:row>11</xdr:row>
      <xdr:rowOff>47625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6B8799EF-DD2B-4E2D-9A43-4ACDF3633999}"/>
            </a:ext>
          </a:extLst>
        </xdr:cNvPr>
        <xdr:cNvCxnSpPr>
          <a:cxnSpLocks/>
        </xdr:cNvCxnSpPr>
      </xdr:nvCxnSpPr>
      <xdr:spPr>
        <a:xfrm>
          <a:off x="3418382" y="2024063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23587</xdr:colOff>
      <xdr:row>57</xdr:row>
      <xdr:rowOff>288594</xdr:rowOff>
    </xdr:from>
    <xdr:to>
      <xdr:col>6</xdr:col>
      <xdr:colOff>822458</xdr:colOff>
      <xdr:row>57</xdr:row>
      <xdr:rowOff>2153478</xdr:rowOff>
    </xdr:to>
    <xdr:sp macro="" textlink="">
      <xdr:nvSpPr>
        <xdr:cNvPr id="11" name="Rectángulo: esquinas redondeadas 1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EA523FF-19C4-4328-9AA6-05E103D48478}"/>
            </a:ext>
          </a:extLst>
        </xdr:cNvPr>
        <xdr:cNvSpPr/>
      </xdr:nvSpPr>
      <xdr:spPr>
        <a:xfrm>
          <a:off x="2549783" y="12070605"/>
          <a:ext cx="881697" cy="1864884"/>
        </a:xfrm>
        <a:prstGeom prst="roundRect">
          <a:avLst>
            <a:gd name="adj" fmla="val 0"/>
          </a:avLst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 - PRODUCTO</a:t>
          </a:r>
        </a:p>
      </xdr:txBody>
    </xdr:sp>
    <xdr:clientData/>
  </xdr:twoCellAnchor>
  <xdr:twoCellAnchor>
    <xdr:from>
      <xdr:col>5</xdr:col>
      <xdr:colOff>26791</xdr:colOff>
      <xdr:row>47</xdr:row>
      <xdr:rowOff>131318</xdr:rowOff>
    </xdr:from>
    <xdr:to>
      <xdr:col>6</xdr:col>
      <xdr:colOff>829262</xdr:colOff>
      <xdr:row>57</xdr:row>
      <xdr:rowOff>310598</xdr:rowOff>
    </xdr:to>
    <xdr:sp macro="" textlink="">
      <xdr:nvSpPr>
        <xdr:cNvPr id="13" name="Rectángulo: esquinas redondeadas 12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A2F2485-1A7D-4EE1-9B70-0E0C6B39C316}"/>
            </a:ext>
          </a:extLst>
        </xdr:cNvPr>
        <xdr:cNvSpPr/>
      </xdr:nvSpPr>
      <xdr:spPr>
        <a:xfrm>
          <a:off x="2552987" y="10049742"/>
          <a:ext cx="885297" cy="2042867"/>
        </a:xfrm>
        <a:prstGeom prst="roundRect">
          <a:avLst>
            <a:gd name="adj" fmla="val 0"/>
          </a:avLst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GASTOS DE IMPORTACIÓN</a:t>
          </a:r>
        </a:p>
      </xdr:txBody>
    </xdr:sp>
    <xdr:clientData/>
  </xdr:twoCellAnchor>
  <xdr:twoCellAnchor>
    <xdr:from>
      <xdr:col>5</xdr:col>
      <xdr:colOff>21854</xdr:colOff>
      <xdr:row>39</xdr:row>
      <xdr:rowOff>68972</xdr:rowOff>
    </xdr:from>
    <xdr:to>
      <xdr:col>6</xdr:col>
      <xdr:colOff>820725</xdr:colOff>
      <xdr:row>47</xdr:row>
      <xdr:rowOff>147731</xdr:rowOff>
    </xdr:to>
    <xdr:sp macro="" textlink="">
      <xdr:nvSpPr>
        <xdr:cNvPr id="14" name="Rectángulo: esquinas redondeadas 1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97C0FE6F-D352-41BC-839E-0D39EC376853}"/>
            </a:ext>
          </a:extLst>
        </xdr:cNvPr>
        <xdr:cNvSpPr/>
      </xdr:nvSpPr>
      <xdr:spPr>
        <a:xfrm>
          <a:off x="2540687" y="8662639"/>
          <a:ext cx="883538" cy="1602759"/>
        </a:xfrm>
        <a:prstGeom prst="roundRect">
          <a:avLst>
            <a:gd name="adj" fmla="val 0"/>
          </a:avLst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FACTURA</a:t>
          </a:r>
          <a:r>
            <a:rPr lang="es-PE" sz="1800" b="1" baseline="0">
              <a:solidFill>
                <a:sysClr val="windowText" lastClr="000000"/>
              </a:solidFill>
            </a:rPr>
            <a:t> COMECIAL </a:t>
          </a:r>
          <a:endParaRPr lang="es-PE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10547</xdr:colOff>
      <xdr:row>29</xdr:row>
      <xdr:rowOff>48367</xdr:rowOff>
    </xdr:from>
    <xdr:to>
      <xdr:col>6</xdr:col>
      <xdr:colOff>818077</xdr:colOff>
      <xdr:row>39</xdr:row>
      <xdr:rowOff>47114</xdr:rowOff>
    </xdr:to>
    <xdr:sp macro="" textlink="">
      <xdr:nvSpPr>
        <xdr:cNvPr id="15" name="Rectángulo: esquinas redondeadas 1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78F38DC-5110-4928-AFED-BCCE3F7DC143}"/>
            </a:ext>
          </a:extLst>
        </xdr:cNvPr>
        <xdr:cNvSpPr/>
      </xdr:nvSpPr>
      <xdr:spPr>
        <a:xfrm>
          <a:off x="2529380" y="6737034"/>
          <a:ext cx="892197" cy="1903747"/>
        </a:xfrm>
        <a:prstGeom prst="roundRect">
          <a:avLst>
            <a:gd name="adj" fmla="val 0"/>
          </a:avLst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2400" b="1">
              <a:solidFill>
                <a:sysClr val="windowText" lastClr="000000"/>
              </a:solidFill>
            </a:rPr>
            <a:t>DATOS</a:t>
          </a:r>
        </a:p>
      </xdr:txBody>
    </xdr:sp>
    <xdr:clientData/>
  </xdr:twoCellAnchor>
  <xdr:twoCellAnchor>
    <xdr:from>
      <xdr:col>5</xdr:col>
      <xdr:colOff>5147</xdr:colOff>
      <xdr:row>19</xdr:row>
      <xdr:rowOff>73939</xdr:rowOff>
    </xdr:from>
    <xdr:to>
      <xdr:col>6</xdr:col>
      <xdr:colOff>813543</xdr:colOff>
      <xdr:row>29</xdr:row>
      <xdr:rowOff>35201</xdr:rowOff>
    </xdr:to>
    <xdr:sp macro="" textlink="">
      <xdr:nvSpPr>
        <xdr:cNvPr id="16" name="Rectángulo: esquinas redondeadas 15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6D3417D-16B8-4B23-BC67-AFC905F7A16C}"/>
            </a:ext>
          </a:extLst>
        </xdr:cNvPr>
        <xdr:cNvSpPr/>
      </xdr:nvSpPr>
      <xdr:spPr>
        <a:xfrm>
          <a:off x="2523980" y="4772939"/>
          <a:ext cx="893063" cy="1950929"/>
        </a:xfrm>
        <a:prstGeom prst="roundRect">
          <a:avLst>
            <a:gd name="adj" fmla="val 0"/>
          </a:avLst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0"/>
            <a:t>INTRODUCCIÓN</a:t>
          </a:r>
        </a:p>
        <a:p>
          <a:pPr algn="ctr"/>
          <a:endParaRPr lang="es-PE" sz="4400" b="1"/>
        </a:p>
      </xdr:txBody>
    </xdr:sp>
    <xdr:clientData/>
  </xdr:twoCellAnchor>
  <xdr:twoCellAnchor>
    <xdr:from>
      <xdr:col>5</xdr:col>
      <xdr:colOff>7336</xdr:colOff>
      <xdr:row>14</xdr:row>
      <xdr:rowOff>83692</xdr:rowOff>
    </xdr:from>
    <xdr:to>
      <xdr:col>6</xdr:col>
      <xdr:colOff>810732</xdr:colOff>
      <xdr:row>19</xdr:row>
      <xdr:rowOff>92351</xdr:rowOff>
    </xdr:to>
    <xdr:sp macro="" textlink="">
      <xdr:nvSpPr>
        <xdr:cNvPr id="17" name="Rectángulo: esquinas redondeadas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73921A1-6715-48B8-BECA-C07DF945960A}"/>
            </a:ext>
          </a:extLst>
        </xdr:cNvPr>
        <xdr:cNvSpPr/>
      </xdr:nvSpPr>
      <xdr:spPr>
        <a:xfrm>
          <a:off x="2526169" y="2877692"/>
          <a:ext cx="888063" cy="1913659"/>
        </a:xfrm>
        <a:prstGeom prst="roundRect">
          <a:avLst>
            <a:gd name="adj" fmla="val 0"/>
          </a:avLst>
        </a:prstGeom>
        <a:solidFill>
          <a:srgbClr val="002060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1"/>
        <a:lstStyle/>
        <a:p>
          <a:pPr algn="ctr"/>
          <a:r>
            <a:rPr lang="es-PE" sz="2400" b="0">
              <a:effectLst>
                <a:outerShdw blurRad="50800" dist="50800" dir="5400000" sx="6000" sy="6000" algn="ctr" rotWithShape="0">
                  <a:srgbClr val="000000">
                    <a:alpha val="43137"/>
                  </a:srgbClr>
                </a:outerShdw>
              </a:effectLst>
            </a:rPr>
            <a:t>INICIO</a:t>
          </a:r>
        </a:p>
        <a:p>
          <a:pPr algn="ctr"/>
          <a:endParaRPr lang="es-PE" sz="2400" b="0"/>
        </a:p>
      </xdr:txBody>
    </xdr:sp>
    <xdr:clientData/>
  </xdr:twoCellAnchor>
  <xdr:twoCellAnchor>
    <xdr:from>
      <xdr:col>6</xdr:col>
      <xdr:colOff>793871</xdr:colOff>
      <xdr:row>14</xdr:row>
      <xdr:rowOff>62120</xdr:rowOff>
    </xdr:from>
    <xdr:to>
      <xdr:col>7</xdr:col>
      <xdr:colOff>103531</xdr:colOff>
      <xdr:row>57</xdr:row>
      <xdr:rowOff>2153478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39FCDA2C-F91E-4DD0-BA43-791F0647005F}"/>
            </a:ext>
          </a:extLst>
        </xdr:cNvPr>
        <xdr:cNvSpPr/>
      </xdr:nvSpPr>
      <xdr:spPr>
        <a:xfrm>
          <a:off x="3402893" y="2816087"/>
          <a:ext cx="220747" cy="11119402"/>
        </a:xfrm>
        <a:prstGeom prst="roundRect">
          <a:avLst>
            <a:gd name="adj" fmla="val 0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53</xdr:row>
      <xdr:rowOff>133350</xdr:rowOff>
    </xdr:from>
    <xdr:to>
      <xdr:col>2</xdr:col>
      <xdr:colOff>1571625</xdr:colOff>
      <xdr:row>71</xdr:row>
      <xdr:rowOff>40515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24C148-176F-43B2-8547-A2ED57C04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1724025</xdr:colOff>
      <xdr:row>53</xdr:row>
      <xdr:rowOff>133350</xdr:rowOff>
    </xdr:from>
    <xdr:to>
      <xdr:col>8</xdr:col>
      <xdr:colOff>501495</xdr:colOff>
      <xdr:row>71</xdr:row>
      <xdr:rowOff>40515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E8F8C4-58F2-4857-BD74-47E265545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67232</xdr:colOff>
      <xdr:row>14</xdr:row>
      <xdr:rowOff>204790</xdr:rowOff>
    </xdr:from>
    <xdr:to>
      <xdr:col>42</xdr:col>
      <xdr:colOff>123824</xdr:colOff>
      <xdr:row>67</xdr:row>
      <xdr:rowOff>34382</xdr:rowOff>
    </xdr:to>
    <xdr:sp macro="" textlink="">
      <xdr:nvSpPr>
        <xdr:cNvPr id="234" name="Rectángulo: esquinas redondeadas 233">
          <a:extLst>
            <a:ext uri="{FF2B5EF4-FFF2-40B4-BE49-F238E27FC236}">
              <a16:creationId xmlns:a16="http://schemas.microsoft.com/office/drawing/2014/main" id="{C8F2D9E6-4F4D-4901-9D18-3C57048F0CAD}"/>
            </a:ext>
          </a:extLst>
        </xdr:cNvPr>
        <xdr:cNvSpPr/>
      </xdr:nvSpPr>
      <xdr:spPr>
        <a:xfrm>
          <a:off x="329170" y="3443290"/>
          <a:ext cx="31346217" cy="11902530"/>
        </a:xfrm>
        <a:prstGeom prst="roundRect">
          <a:avLst>
            <a:gd name="adj" fmla="val 1274"/>
          </a:avLst>
        </a:prstGeom>
        <a:solidFill>
          <a:srgbClr val="DCEBF4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innerShdw blurRad="38100" dist="50800" dir="2700000">
            <a:prstClr val="black">
              <a:alpha val="53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16</xdr:col>
      <xdr:colOff>228805</xdr:colOff>
      <xdr:row>40</xdr:row>
      <xdr:rowOff>100852</xdr:rowOff>
    </xdr:from>
    <xdr:to>
      <xdr:col>19</xdr:col>
      <xdr:colOff>1409905</xdr:colOff>
      <xdr:row>65</xdr:row>
      <xdr:rowOff>-1</xdr:rowOff>
    </xdr:to>
    <xdr:sp macro="" textlink="">
      <xdr:nvSpPr>
        <xdr:cNvPr id="34" name="Rectángulo: esquinas redondeadas 33">
          <a:extLst>
            <a:ext uri="{FF2B5EF4-FFF2-40B4-BE49-F238E27FC236}">
              <a16:creationId xmlns:a16="http://schemas.microsoft.com/office/drawing/2014/main" id="{3ADAC7E5-7FC6-4912-AC8F-C1518F14D971}"/>
            </a:ext>
          </a:extLst>
        </xdr:cNvPr>
        <xdr:cNvSpPr/>
      </xdr:nvSpPr>
      <xdr:spPr>
        <a:xfrm>
          <a:off x="11641487" y="9989534"/>
          <a:ext cx="3952009" cy="4938738"/>
        </a:xfrm>
        <a:prstGeom prst="roundRect">
          <a:avLst>
            <a:gd name="adj" fmla="val 696"/>
          </a:avLst>
        </a:prstGeom>
        <a:solidFill>
          <a:sysClr val="window" lastClr="FFFFFF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708932</xdr:colOff>
      <xdr:row>15</xdr:row>
      <xdr:rowOff>71497</xdr:rowOff>
    </xdr:from>
    <xdr:to>
      <xdr:col>6</xdr:col>
      <xdr:colOff>81581</xdr:colOff>
      <xdr:row>64</xdr:row>
      <xdr:rowOff>101434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FDE29841-7F02-4F7D-A64A-88F887FF6F79}"/>
            </a:ext>
          </a:extLst>
        </xdr:cNvPr>
        <xdr:cNvSpPr/>
      </xdr:nvSpPr>
      <xdr:spPr>
        <a:xfrm>
          <a:off x="2314575" y="3799854"/>
          <a:ext cx="284327" cy="11024509"/>
        </a:xfrm>
        <a:prstGeom prst="roundRect">
          <a:avLst>
            <a:gd name="adj" fmla="val 0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20</xdr:col>
      <xdr:colOff>366714</xdr:colOff>
      <xdr:row>15</xdr:row>
      <xdr:rowOff>128588</xdr:rowOff>
    </xdr:from>
    <xdr:to>
      <xdr:col>28</xdr:col>
      <xdr:colOff>190499</xdr:colOff>
      <xdr:row>64</xdr:row>
      <xdr:rowOff>244929</xdr:rowOff>
    </xdr:to>
    <xdr:sp macro="" textlink="">
      <xdr:nvSpPr>
        <xdr:cNvPr id="225" name="Rectángulo: esquinas redondeadas 224">
          <a:extLst>
            <a:ext uri="{FF2B5EF4-FFF2-40B4-BE49-F238E27FC236}">
              <a16:creationId xmlns:a16="http://schemas.microsoft.com/office/drawing/2014/main" id="{4D94C4C6-B5DB-49AB-9EF2-3185804C647F}"/>
            </a:ext>
          </a:extLst>
        </xdr:cNvPr>
        <xdr:cNvSpPr/>
      </xdr:nvSpPr>
      <xdr:spPr>
        <a:xfrm>
          <a:off x="16535402" y="3819526"/>
          <a:ext cx="5919785" cy="10879591"/>
        </a:xfrm>
        <a:prstGeom prst="roundRect">
          <a:avLst>
            <a:gd name="adj" fmla="val 696"/>
          </a:avLst>
        </a:prstGeom>
        <a:solidFill>
          <a:sysClr val="window" lastClr="FFFFFF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oneCellAnchor>
    <xdr:from>
      <xdr:col>0</xdr:col>
      <xdr:colOff>721162</xdr:colOff>
      <xdr:row>3</xdr:row>
      <xdr:rowOff>157503</xdr:rowOff>
    </xdr:from>
    <xdr:ext cx="3257109" cy="886909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39752376-CAB6-41DC-8BBB-962EBE3D56CE}"/>
            </a:ext>
          </a:extLst>
        </xdr:cNvPr>
        <xdr:cNvSpPr/>
      </xdr:nvSpPr>
      <xdr:spPr>
        <a:xfrm>
          <a:off x="721162" y="729003"/>
          <a:ext cx="3257109" cy="88690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es-ES" sz="5400" b="1" cap="none" spc="0">
              <a:ln w="0"/>
              <a:solidFill>
                <a:srgbClr val="49769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 Narrow" panose="020B0606020202030204" pitchFamily="34" charset="0"/>
            </a:rPr>
            <a:t>Dashboard</a:t>
          </a:r>
        </a:p>
      </xdr:txBody>
    </xdr:sp>
    <xdr:clientData/>
  </xdr:oneCellAnchor>
  <xdr:oneCellAnchor>
    <xdr:from>
      <xdr:col>0</xdr:col>
      <xdr:colOff>729596</xdr:colOff>
      <xdr:row>8</xdr:row>
      <xdr:rowOff>82350</xdr:rowOff>
    </xdr:from>
    <xdr:ext cx="4294842" cy="586251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92A490B-E633-4BDC-A022-4077FAD3345D}"/>
            </a:ext>
          </a:extLst>
        </xdr:cNvPr>
        <xdr:cNvSpPr/>
      </xdr:nvSpPr>
      <xdr:spPr>
        <a:xfrm>
          <a:off x="729596" y="1487288"/>
          <a:ext cx="4294842" cy="58625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es-ES" sz="3600" b="0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badi ExtraLight" panose="020F0502020204030204" pitchFamily="34" charset="0"/>
            </a:rPr>
            <a:t>Costos de Importación</a:t>
          </a:r>
        </a:p>
      </xdr:txBody>
    </xdr:sp>
    <xdr:clientData/>
  </xdr:oneCellAnchor>
  <xdr:twoCellAnchor>
    <xdr:from>
      <xdr:col>8</xdr:col>
      <xdr:colOff>595313</xdr:colOff>
      <xdr:row>5</xdr:row>
      <xdr:rowOff>12562</xdr:rowOff>
    </xdr:from>
    <xdr:to>
      <xdr:col>42</xdr:col>
      <xdr:colOff>47624</xdr:colOff>
      <xdr:row>10</xdr:row>
      <xdr:rowOff>169488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0FA9FD86-E1EC-4695-9B9B-6C65B992D712}"/>
            </a:ext>
          </a:extLst>
        </xdr:cNvPr>
        <xdr:cNvSpPr/>
      </xdr:nvSpPr>
      <xdr:spPr>
        <a:xfrm>
          <a:off x="5072063" y="965062"/>
          <a:ext cx="26908124" cy="990364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4000" b="1">
              <a:solidFill>
                <a:schemeClr val="bg1">
                  <a:lumMod val="50000"/>
                </a:schemeClr>
              </a:solidFill>
            </a:rPr>
            <a:t>📊  DASHBOARD POR</a:t>
          </a:r>
          <a:r>
            <a:rPr lang="es-PE" sz="4000" b="1" baseline="0">
              <a:solidFill>
                <a:schemeClr val="bg1">
                  <a:lumMod val="50000"/>
                </a:schemeClr>
              </a:solidFill>
            </a:rPr>
            <a:t> PRODUCTO</a:t>
          </a:r>
          <a:endParaRPr lang="es-PE" sz="40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29654</xdr:colOff>
      <xdr:row>0</xdr:row>
      <xdr:rowOff>18406</xdr:rowOff>
    </xdr:from>
    <xdr:to>
      <xdr:col>2</xdr:col>
      <xdr:colOff>279776</xdr:colOff>
      <xdr:row>3</xdr:row>
      <xdr:rowOff>120504</xdr:rowOff>
    </xdr:to>
    <xdr:pic>
      <xdr:nvPicPr>
        <xdr:cNvPr id="77" name="Gráfico 76" descr="Signo de intercalación hacia la derecha con relleno sólido">
          <a:extLst>
            <a:ext uri="{FF2B5EF4-FFF2-40B4-BE49-F238E27FC236}">
              <a16:creationId xmlns:a16="http://schemas.microsoft.com/office/drawing/2014/main" id="{CB7A189A-12DD-4DC2-810F-4CF36FB86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1654" y="18406"/>
          <a:ext cx="583497" cy="673598"/>
        </a:xfrm>
        <a:prstGeom prst="rect">
          <a:avLst/>
        </a:prstGeom>
      </xdr:spPr>
    </xdr:pic>
    <xdr:clientData/>
  </xdr:twoCellAnchor>
  <xdr:twoCellAnchor editAs="oneCell">
    <xdr:from>
      <xdr:col>1</xdr:col>
      <xdr:colOff>218804</xdr:colOff>
      <xdr:row>0</xdr:row>
      <xdr:rowOff>16724</xdr:rowOff>
    </xdr:from>
    <xdr:to>
      <xdr:col>2</xdr:col>
      <xdr:colOff>476250</xdr:colOff>
      <xdr:row>3</xdr:row>
      <xdr:rowOff>118821</xdr:rowOff>
    </xdr:to>
    <xdr:pic>
      <xdr:nvPicPr>
        <xdr:cNvPr id="78" name="Gráfico 77" descr="Signo de intercalación hacia la derecha con relleno sólido">
          <a:extLst>
            <a:ext uri="{FF2B5EF4-FFF2-40B4-BE49-F238E27FC236}">
              <a16:creationId xmlns:a16="http://schemas.microsoft.com/office/drawing/2014/main" id="{18997FB8-DA7A-4C5B-8DB0-E267070C6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80804" y="16724"/>
          <a:ext cx="590821" cy="673597"/>
        </a:xfrm>
        <a:prstGeom prst="rect">
          <a:avLst/>
        </a:prstGeom>
      </xdr:spPr>
    </xdr:pic>
    <xdr:clientData/>
  </xdr:twoCellAnchor>
  <xdr:twoCellAnchor editAs="oneCell">
    <xdr:from>
      <xdr:col>2</xdr:col>
      <xdr:colOff>97043</xdr:colOff>
      <xdr:row>0</xdr:row>
      <xdr:rowOff>24847</xdr:rowOff>
    </xdr:from>
    <xdr:to>
      <xdr:col>2</xdr:col>
      <xdr:colOff>697699</xdr:colOff>
      <xdr:row>3</xdr:row>
      <xdr:rowOff>126945</xdr:rowOff>
    </xdr:to>
    <xdr:pic>
      <xdr:nvPicPr>
        <xdr:cNvPr id="79" name="Gráfico 78" descr="Signo de intercalación hacia la derecha con relleno sólido">
          <a:extLst>
            <a:ext uri="{FF2B5EF4-FFF2-40B4-BE49-F238E27FC236}">
              <a16:creationId xmlns:a16="http://schemas.microsoft.com/office/drawing/2014/main" id="{3754FE2B-1EAD-492F-A7A5-7FDE17029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92418" y="24847"/>
          <a:ext cx="600656" cy="673598"/>
        </a:xfrm>
        <a:prstGeom prst="rect">
          <a:avLst/>
        </a:prstGeom>
      </xdr:spPr>
    </xdr:pic>
    <xdr:clientData/>
  </xdr:twoCellAnchor>
  <xdr:twoCellAnchor editAs="oneCell">
    <xdr:from>
      <xdr:col>40</xdr:col>
      <xdr:colOff>287916</xdr:colOff>
      <xdr:row>0</xdr:row>
      <xdr:rowOff>0</xdr:rowOff>
    </xdr:from>
    <xdr:to>
      <xdr:col>42</xdr:col>
      <xdr:colOff>88343</xdr:colOff>
      <xdr:row>3</xdr:row>
      <xdr:rowOff>116571</xdr:rowOff>
    </xdr:to>
    <xdr:pic>
      <xdr:nvPicPr>
        <xdr:cNvPr id="80" name="Gráfico 79" descr="Hogar contorn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3E070F9-A1B9-413B-ABEE-0853D460E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0910791" y="0"/>
          <a:ext cx="705302" cy="688071"/>
        </a:xfrm>
        <a:prstGeom prst="rect">
          <a:avLst/>
        </a:prstGeom>
      </xdr:spPr>
    </xdr:pic>
    <xdr:clientData/>
  </xdr:twoCellAnchor>
  <xdr:twoCellAnchor>
    <xdr:from>
      <xdr:col>6</xdr:col>
      <xdr:colOff>115520</xdr:colOff>
      <xdr:row>21</xdr:row>
      <xdr:rowOff>268691</xdr:rowOff>
    </xdr:from>
    <xdr:to>
      <xdr:col>8</xdr:col>
      <xdr:colOff>683760</xdr:colOff>
      <xdr:row>24</xdr:row>
      <xdr:rowOff>78191</xdr:rowOff>
    </xdr:to>
    <xdr:sp macro="" textlink="$H$22">
      <xdr:nvSpPr>
        <xdr:cNvPr id="83" name="Rectángulo 82">
          <a:extLst>
            <a:ext uri="{FF2B5EF4-FFF2-40B4-BE49-F238E27FC236}">
              <a16:creationId xmlns:a16="http://schemas.microsoft.com/office/drawing/2014/main" id="{1B7A6F58-F780-D910-B9B4-F2687E55D3EA}"/>
            </a:ext>
          </a:extLst>
        </xdr:cNvPr>
        <xdr:cNvSpPr/>
      </xdr:nvSpPr>
      <xdr:spPr>
        <a:xfrm>
          <a:off x="2632841" y="5820405"/>
          <a:ext cx="2065026" cy="5715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A2B10BD-2538-4A78-9328-62F59FB8239D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/>
              <a:cs typeface="Arial"/>
            </a:rPr>
            <a:pPr algn="ctr"/>
            <a:t> 2,880 </a:t>
          </a:fld>
          <a:endParaRPr lang="es-PE" sz="14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145326</xdr:colOff>
      <xdr:row>15</xdr:row>
      <xdr:rowOff>120368</xdr:rowOff>
    </xdr:from>
    <xdr:to>
      <xdr:col>19</xdr:col>
      <xdr:colOff>1374322</xdr:colOff>
      <xdr:row>18</xdr:row>
      <xdr:rowOff>190501</xdr:rowOff>
    </xdr:to>
    <xdr:sp macro="" textlink="">
      <xdr:nvSpPr>
        <xdr:cNvPr id="84" name="Rectángulo: esquinas redondeadas 83">
          <a:extLst>
            <a:ext uri="{FF2B5EF4-FFF2-40B4-BE49-F238E27FC236}">
              <a16:creationId xmlns:a16="http://schemas.microsoft.com/office/drawing/2014/main" id="{647F0A92-90D5-4D1F-8ABE-6CC607C397DA}"/>
            </a:ext>
          </a:extLst>
        </xdr:cNvPr>
        <xdr:cNvSpPr/>
      </xdr:nvSpPr>
      <xdr:spPr>
        <a:xfrm>
          <a:off x="2662647" y="3848725"/>
          <a:ext cx="12795068" cy="750490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PE" sz="2400" b="1">
              <a:solidFill>
                <a:schemeClr val="bg1">
                  <a:lumMod val="50000"/>
                </a:schemeClr>
              </a:solidFill>
            </a:rPr>
            <a:t>📊    📦  SECCIÓN 1: IDENTIFICACIÓN DEL PRODUCTO Y VALOR FOB POR</a:t>
          </a:r>
          <a:r>
            <a:rPr lang="es-PE" sz="2400" b="1" baseline="0">
              <a:solidFill>
                <a:schemeClr val="bg1">
                  <a:lumMod val="50000"/>
                </a:schemeClr>
              </a:solidFill>
            </a:rPr>
            <a:t> PRODUCTO</a:t>
          </a:r>
          <a:endParaRPr lang="es-PE" sz="24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17009</xdr:colOff>
      <xdr:row>21</xdr:row>
      <xdr:rowOff>272415</xdr:rowOff>
    </xdr:from>
    <xdr:to>
      <xdr:col>11</xdr:col>
      <xdr:colOff>13607</xdr:colOff>
      <xdr:row>24</xdr:row>
      <xdr:rowOff>81915</xdr:rowOff>
    </xdr:to>
    <xdr:sp macro="" textlink="$K$22">
      <xdr:nvSpPr>
        <xdr:cNvPr id="86" name="Rectángulo 85">
          <a:extLst>
            <a:ext uri="{FF2B5EF4-FFF2-40B4-BE49-F238E27FC236}">
              <a16:creationId xmlns:a16="http://schemas.microsoft.com/office/drawing/2014/main" id="{7D765F6A-E762-422E-BEFF-420281AFBB60}"/>
            </a:ext>
          </a:extLst>
        </xdr:cNvPr>
        <xdr:cNvSpPr/>
      </xdr:nvSpPr>
      <xdr:spPr>
        <a:xfrm>
          <a:off x="4793116" y="5824129"/>
          <a:ext cx="1915205" cy="57150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8C85131-3142-49FA-9986-3FDB32E14587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/>
              <a:cs typeface="Arial"/>
            </a:rPr>
            <a:pPr algn="ctr"/>
            <a:t>$0.68</a:t>
          </a:fld>
          <a:endParaRPr lang="es-PE" sz="140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11</xdr:col>
      <xdr:colOff>106816</xdr:colOff>
      <xdr:row>21</xdr:row>
      <xdr:rowOff>267974</xdr:rowOff>
    </xdr:from>
    <xdr:to>
      <xdr:col>13</xdr:col>
      <xdr:colOff>136071</xdr:colOff>
      <xdr:row>24</xdr:row>
      <xdr:rowOff>77474</xdr:rowOff>
    </xdr:to>
    <xdr:sp macro="" textlink="$M$22">
      <xdr:nvSpPr>
        <xdr:cNvPr id="88" name="Rectángulo 87">
          <a:extLst>
            <a:ext uri="{FF2B5EF4-FFF2-40B4-BE49-F238E27FC236}">
              <a16:creationId xmlns:a16="http://schemas.microsoft.com/office/drawing/2014/main" id="{B0BF1B99-8B03-489A-B39B-056B409E1159}"/>
            </a:ext>
          </a:extLst>
        </xdr:cNvPr>
        <xdr:cNvSpPr/>
      </xdr:nvSpPr>
      <xdr:spPr>
        <a:xfrm>
          <a:off x="6801530" y="5819688"/>
          <a:ext cx="2111148" cy="5715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529D127-4EA6-43CA-B77F-81D35B2F3574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/>
              <a:cs typeface="Arial"/>
            </a:rPr>
            <a:pPr algn="ctr"/>
            <a:t>$1,958.40</a:t>
          </a:fld>
          <a:endParaRPr lang="es-PE" sz="140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13</xdr:col>
      <xdr:colOff>261296</xdr:colOff>
      <xdr:row>21</xdr:row>
      <xdr:rowOff>267615</xdr:rowOff>
    </xdr:from>
    <xdr:to>
      <xdr:col>15</xdr:col>
      <xdr:colOff>285749</xdr:colOff>
      <xdr:row>24</xdr:row>
      <xdr:rowOff>77115</xdr:rowOff>
    </xdr:to>
    <xdr:sp macro="" textlink="$O$22">
      <xdr:nvSpPr>
        <xdr:cNvPr id="90" name="Rectángulo 89">
          <a:extLst>
            <a:ext uri="{FF2B5EF4-FFF2-40B4-BE49-F238E27FC236}">
              <a16:creationId xmlns:a16="http://schemas.microsoft.com/office/drawing/2014/main" id="{65820FB2-C59D-4DD7-B1FF-BDCC0248BD0E}"/>
            </a:ext>
          </a:extLst>
        </xdr:cNvPr>
        <xdr:cNvSpPr/>
      </xdr:nvSpPr>
      <xdr:spPr>
        <a:xfrm>
          <a:off x="9037903" y="5819329"/>
          <a:ext cx="1888632" cy="571500"/>
        </a:xfrm>
        <a:prstGeom prst="rect">
          <a:avLst/>
        </a:prstGeom>
        <a:solidFill>
          <a:srgbClr val="BDD8E9"/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F529162-D358-4942-86A0-E4DDC6701674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/>
              <a:cs typeface="Arial"/>
            </a:rPr>
            <a:pPr algn="ctr"/>
            <a:t>13.8%</a:t>
          </a:fld>
          <a:endParaRPr lang="es-PE" sz="140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15</xdr:col>
      <xdr:colOff>414338</xdr:colOff>
      <xdr:row>21</xdr:row>
      <xdr:rowOff>254367</xdr:rowOff>
    </xdr:from>
    <xdr:to>
      <xdr:col>17</xdr:col>
      <xdr:colOff>490538</xdr:colOff>
      <xdr:row>24</xdr:row>
      <xdr:rowOff>63867</xdr:rowOff>
    </xdr:to>
    <xdr:sp macro="" textlink="$Q$22">
      <xdr:nvSpPr>
        <xdr:cNvPr id="92" name="Rectángulo 91">
          <a:extLst>
            <a:ext uri="{FF2B5EF4-FFF2-40B4-BE49-F238E27FC236}">
              <a16:creationId xmlns:a16="http://schemas.microsoft.com/office/drawing/2014/main" id="{BC3BC27E-92D1-4240-93FE-7BEB6154B4A1}"/>
            </a:ext>
          </a:extLst>
        </xdr:cNvPr>
        <xdr:cNvSpPr/>
      </xdr:nvSpPr>
      <xdr:spPr>
        <a:xfrm>
          <a:off x="11055124" y="5806081"/>
          <a:ext cx="2076450" cy="5715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80AC726-202E-4293-B7AF-7CAF5FB9614F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/>
              <a:cs typeface="Arial"/>
            </a:rPr>
            <a:pPr algn="ctr"/>
            <a:t>S/ 2.53</a:t>
          </a:fld>
          <a:endParaRPr lang="es-PE" sz="140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17</xdr:col>
      <xdr:colOff>605327</xdr:colOff>
      <xdr:row>21</xdr:row>
      <xdr:rowOff>240401</xdr:rowOff>
    </xdr:from>
    <xdr:to>
      <xdr:col>19</xdr:col>
      <xdr:colOff>1403703</xdr:colOff>
      <xdr:row>24</xdr:row>
      <xdr:rowOff>49901</xdr:rowOff>
    </xdr:to>
    <xdr:sp macro="" textlink="$T$22">
      <xdr:nvSpPr>
        <xdr:cNvPr id="94" name="Rectángulo 93">
          <a:extLst>
            <a:ext uri="{FF2B5EF4-FFF2-40B4-BE49-F238E27FC236}">
              <a16:creationId xmlns:a16="http://schemas.microsoft.com/office/drawing/2014/main" id="{46940C05-A612-4D1B-B1E7-FDF42C01D9D0}"/>
            </a:ext>
          </a:extLst>
        </xdr:cNvPr>
        <xdr:cNvSpPr/>
      </xdr:nvSpPr>
      <xdr:spPr>
        <a:xfrm>
          <a:off x="13246363" y="5792115"/>
          <a:ext cx="2322376" cy="571500"/>
        </a:xfrm>
        <a:prstGeom prst="rect">
          <a:avLst/>
        </a:prstGeom>
        <a:solidFill>
          <a:srgbClr val="ACBBC8"/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F8CDD8D-121A-42EC-8E20-347F73A26E18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/>
              <a:cs typeface="Arial"/>
            </a:rPr>
            <a:pPr algn="ctr"/>
            <a:t>S/ 7,285.25</a:t>
          </a:fld>
          <a:endParaRPr lang="es-PE" sz="140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112873</xdr:colOff>
      <xdr:row>25</xdr:row>
      <xdr:rowOff>147222</xdr:rowOff>
    </xdr:from>
    <xdr:to>
      <xdr:col>19</xdr:col>
      <xdr:colOff>1374321</xdr:colOff>
      <xdr:row>29</xdr:row>
      <xdr:rowOff>9140</xdr:rowOff>
    </xdr:to>
    <xdr:sp macro="" textlink="">
      <xdr:nvSpPr>
        <xdr:cNvPr id="98" name="Rectángulo: esquinas redondeadas 97">
          <a:extLst>
            <a:ext uri="{FF2B5EF4-FFF2-40B4-BE49-F238E27FC236}">
              <a16:creationId xmlns:a16="http://schemas.microsoft.com/office/drawing/2014/main" id="{36A2EB2C-8A76-420F-8955-FD432E4D32F6}"/>
            </a:ext>
          </a:extLst>
        </xdr:cNvPr>
        <xdr:cNvSpPr/>
      </xdr:nvSpPr>
      <xdr:spPr>
        <a:xfrm>
          <a:off x="2630194" y="6651436"/>
          <a:ext cx="12909163" cy="596704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PE" sz="2000" b="0">
              <a:solidFill>
                <a:schemeClr val="bg1">
                  <a:lumMod val="50000"/>
                </a:schemeClr>
              </a:solidFill>
            </a:rPr>
            <a:t>  ⚖️  SECCIÓN 2: TRIBUTOS ADUANEROS POR PRODUCTO (S/.) SOLES</a:t>
          </a:r>
        </a:p>
      </xdr:txBody>
    </xdr:sp>
    <xdr:clientData/>
  </xdr:twoCellAnchor>
  <xdr:twoCellAnchor>
    <xdr:from>
      <xdr:col>11</xdr:col>
      <xdr:colOff>213404</xdr:colOff>
      <xdr:row>57</xdr:row>
      <xdr:rowOff>149078</xdr:rowOff>
    </xdr:from>
    <xdr:to>
      <xdr:col>13</xdr:col>
      <xdr:colOff>161976</xdr:colOff>
      <xdr:row>64</xdr:row>
      <xdr:rowOff>155864</xdr:rowOff>
    </xdr:to>
    <xdr:sp macro="" textlink="$M$40">
      <xdr:nvSpPr>
        <xdr:cNvPr id="115" name="Rectángulo 114">
          <a:extLst>
            <a:ext uri="{FF2B5EF4-FFF2-40B4-BE49-F238E27FC236}">
              <a16:creationId xmlns:a16="http://schemas.microsoft.com/office/drawing/2014/main" id="{9C309444-3CC1-4A2E-BDEA-97A1B7F121B7}"/>
            </a:ext>
          </a:extLst>
        </xdr:cNvPr>
        <xdr:cNvSpPr/>
      </xdr:nvSpPr>
      <xdr:spPr>
        <a:xfrm>
          <a:off x="6915540" y="13345533"/>
          <a:ext cx="2026754" cy="1409558"/>
        </a:xfrm>
        <a:prstGeom prst="rect">
          <a:avLst/>
        </a:prstGeom>
        <a:solidFill>
          <a:srgbClr val="00D66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A22FA09-F4C0-4ED2-815B-02B2D113451A}" type="TxLink">
            <a:rPr lang="en-US" sz="2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S/ 2.21</a:t>
          </a:fld>
          <a:endParaRPr lang="es-PE" sz="24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57050</xdr:colOff>
      <xdr:row>45</xdr:row>
      <xdr:rowOff>115860</xdr:rowOff>
    </xdr:from>
    <xdr:to>
      <xdr:col>11</xdr:col>
      <xdr:colOff>103909</xdr:colOff>
      <xdr:row>51</xdr:row>
      <xdr:rowOff>17318</xdr:rowOff>
    </xdr:to>
    <xdr:sp macro="" textlink="$J$51">
      <xdr:nvSpPr>
        <xdr:cNvPr id="117" name="Rectángulo 116">
          <a:extLst>
            <a:ext uri="{FF2B5EF4-FFF2-40B4-BE49-F238E27FC236}">
              <a16:creationId xmlns:a16="http://schemas.microsoft.com/office/drawing/2014/main" id="{37663B19-2875-4B0E-9C5E-0BEB2E1084E6}"/>
            </a:ext>
          </a:extLst>
        </xdr:cNvPr>
        <xdr:cNvSpPr/>
      </xdr:nvSpPr>
      <xdr:spPr>
        <a:xfrm>
          <a:off x="4836868" y="10957042"/>
          <a:ext cx="1969177" cy="1113731"/>
        </a:xfrm>
        <a:prstGeom prst="rect">
          <a:avLst/>
        </a:prstGeom>
        <a:solidFill>
          <a:srgbClr val="6EA2B3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44C423A-3B68-4ED0-80CD-F0C5F7E0163B}" type="TxLink">
            <a:rPr lang="en-US" sz="2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394</a:t>
          </a:fld>
          <a:endParaRPr lang="es-PE" sz="3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263915</xdr:colOff>
      <xdr:row>45</xdr:row>
      <xdr:rowOff>116223</xdr:rowOff>
    </xdr:from>
    <xdr:to>
      <xdr:col>13</xdr:col>
      <xdr:colOff>155865</xdr:colOff>
      <xdr:row>51</xdr:row>
      <xdr:rowOff>1</xdr:rowOff>
    </xdr:to>
    <xdr:sp macro="" textlink="$M$48">
      <xdr:nvSpPr>
        <xdr:cNvPr id="119" name="Rectángulo 118">
          <a:extLst>
            <a:ext uri="{FF2B5EF4-FFF2-40B4-BE49-F238E27FC236}">
              <a16:creationId xmlns:a16="http://schemas.microsoft.com/office/drawing/2014/main" id="{8266D6E8-2790-46A4-807A-DFD1CC1F1692}"/>
            </a:ext>
          </a:extLst>
        </xdr:cNvPr>
        <xdr:cNvSpPr/>
      </xdr:nvSpPr>
      <xdr:spPr>
        <a:xfrm>
          <a:off x="6966051" y="10957405"/>
          <a:ext cx="1970132" cy="1096051"/>
        </a:xfrm>
        <a:prstGeom prst="rect">
          <a:avLst/>
        </a:prstGeom>
        <a:solidFill>
          <a:srgbClr val="00B05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834BF12-2647-4663-BC60-D26CB87ACCD4}" type="TxLink">
            <a:rPr lang="en-US" sz="2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marL="0" indent="0" algn="ctr"/>
            <a:t>S/ 6,351.77</a:t>
          </a:fld>
          <a:endParaRPr lang="es-PE" sz="2400" b="1" i="0" u="none" strike="noStrike">
            <a:solidFill>
              <a:schemeClr val="bg1"/>
            </a:solidFill>
            <a:latin typeface="Arial" panose="020B0604020202020204" pitchFamily="34" charset="0"/>
            <a:ea typeface="Calibri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217115</xdr:colOff>
      <xdr:row>40</xdr:row>
      <xdr:rowOff>37052</xdr:rowOff>
    </xdr:from>
    <xdr:to>
      <xdr:col>13</xdr:col>
      <xdr:colOff>145677</xdr:colOff>
      <xdr:row>45</xdr:row>
      <xdr:rowOff>16300</xdr:rowOff>
    </xdr:to>
    <xdr:sp macro="" textlink="'🏦Detallado por Producto'!N20">
      <xdr:nvSpPr>
        <xdr:cNvPr id="120" name="Rectángulo 119">
          <a:extLst>
            <a:ext uri="{FF2B5EF4-FFF2-40B4-BE49-F238E27FC236}">
              <a16:creationId xmlns:a16="http://schemas.microsoft.com/office/drawing/2014/main" id="{6CE8C06B-DF5B-4340-AD85-693F6AE33538}"/>
            </a:ext>
          </a:extLst>
        </xdr:cNvPr>
        <xdr:cNvSpPr/>
      </xdr:nvSpPr>
      <xdr:spPr>
        <a:xfrm>
          <a:off x="6919251" y="9925734"/>
          <a:ext cx="2006744" cy="931748"/>
        </a:xfrm>
        <a:prstGeom prst="rect">
          <a:avLst/>
        </a:prstGeom>
        <a:solidFill>
          <a:srgbClr val="002060"/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bg1"/>
              </a:solidFill>
            </a:rPr>
            <a:t>GANANCIA</a:t>
          </a:r>
        </a:p>
        <a:p>
          <a:pPr algn="ctr"/>
          <a:r>
            <a:rPr lang="es-PE" sz="2000" b="1">
              <a:solidFill>
                <a:schemeClr val="bg1"/>
              </a:solidFill>
            </a:rPr>
            <a:t>TOTAL(S/.)</a:t>
          </a:r>
        </a:p>
      </xdr:txBody>
    </xdr:sp>
    <xdr:clientData/>
  </xdr:twoCellAnchor>
  <xdr:twoCellAnchor>
    <xdr:from>
      <xdr:col>6</xdr:col>
      <xdr:colOff>151990</xdr:colOff>
      <xdr:row>36</xdr:row>
      <xdr:rowOff>130200</xdr:rowOff>
    </xdr:from>
    <xdr:to>
      <xdr:col>19</xdr:col>
      <xdr:colOff>1393495</xdr:colOff>
      <xdr:row>39</xdr:row>
      <xdr:rowOff>155405</xdr:rowOff>
    </xdr:to>
    <xdr:sp macro="" textlink="">
      <xdr:nvSpPr>
        <xdr:cNvPr id="123" name="Rectángulo: esquinas redondeadas 122">
          <a:extLst>
            <a:ext uri="{FF2B5EF4-FFF2-40B4-BE49-F238E27FC236}">
              <a16:creationId xmlns:a16="http://schemas.microsoft.com/office/drawing/2014/main" id="{09BD18CF-5338-469B-B878-85946BB05BE5}"/>
            </a:ext>
          </a:extLst>
        </xdr:cNvPr>
        <xdr:cNvSpPr/>
      </xdr:nvSpPr>
      <xdr:spPr>
        <a:xfrm>
          <a:off x="2680445" y="9152973"/>
          <a:ext cx="12896641" cy="596705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PE" sz="2000" b="1">
              <a:solidFill>
                <a:schemeClr val="bg1">
                  <a:lumMod val="50000"/>
                </a:schemeClr>
              </a:solidFill>
            </a:rPr>
            <a:t>    🧮  SECCIÓN 3: PRECIO DE VENTA · MARGEN</a:t>
          </a:r>
        </a:p>
      </xdr:txBody>
    </xdr:sp>
    <xdr:clientData/>
  </xdr:twoCellAnchor>
  <xdr:twoCellAnchor>
    <xdr:from>
      <xdr:col>6</xdr:col>
      <xdr:colOff>110895</xdr:colOff>
      <xdr:row>33</xdr:row>
      <xdr:rowOff>69671</xdr:rowOff>
    </xdr:from>
    <xdr:to>
      <xdr:col>8</xdr:col>
      <xdr:colOff>707572</xdr:colOff>
      <xdr:row>35</xdr:row>
      <xdr:rowOff>106840</xdr:rowOff>
    </xdr:to>
    <xdr:sp macro="" textlink="$H$34">
      <xdr:nvSpPr>
        <xdr:cNvPr id="160" name="Rectángulo 159">
          <a:extLst>
            <a:ext uri="{FF2B5EF4-FFF2-40B4-BE49-F238E27FC236}">
              <a16:creationId xmlns:a16="http://schemas.microsoft.com/office/drawing/2014/main" id="{B4757888-6599-7C89-3291-386C6C49CC36}"/>
            </a:ext>
          </a:extLst>
        </xdr:cNvPr>
        <xdr:cNvSpPr/>
      </xdr:nvSpPr>
      <xdr:spPr>
        <a:xfrm>
          <a:off x="2628216" y="8465278"/>
          <a:ext cx="2093463" cy="567848"/>
        </a:xfrm>
        <a:prstGeom prst="rect">
          <a:avLst/>
        </a:prstGeom>
        <a:solidFill>
          <a:srgbClr val="BDD8E9"/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9DB841-D4AC-4506-BB07-F924E59B6535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S/ 505.37</a:t>
          </a:fld>
          <a:endParaRPr lang="es-PE" sz="2400" b="1">
            <a:solidFill>
              <a:schemeClr val="tx2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45085</xdr:colOff>
      <xdr:row>33</xdr:row>
      <xdr:rowOff>69311</xdr:rowOff>
    </xdr:from>
    <xdr:to>
      <xdr:col>11</xdr:col>
      <xdr:colOff>68035</xdr:colOff>
      <xdr:row>35</xdr:row>
      <xdr:rowOff>106480</xdr:rowOff>
    </xdr:to>
    <xdr:sp macro="" textlink="$K$33">
      <xdr:nvSpPr>
        <xdr:cNvPr id="162" name="Rectángulo 161">
          <a:extLst>
            <a:ext uri="{FF2B5EF4-FFF2-40B4-BE49-F238E27FC236}">
              <a16:creationId xmlns:a16="http://schemas.microsoft.com/office/drawing/2014/main" id="{C2CE4D05-771A-4E0D-3D7C-B258454FCFFC}"/>
            </a:ext>
          </a:extLst>
        </xdr:cNvPr>
        <xdr:cNvSpPr/>
      </xdr:nvSpPr>
      <xdr:spPr>
        <a:xfrm>
          <a:off x="4821192" y="8464918"/>
          <a:ext cx="1941557" cy="567848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7022D63-5ECB-4CB8-B4C7-63156627EACF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S/ 178.37</a:t>
          </a:fld>
          <a:endParaRPr lang="es-PE" sz="2400" b="1">
            <a:solidFill>
              <a:schemeClr val="tx2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131123</xdr:colOff>
      <xdr:row>33</xdr:row>
      <xdr:rowOff>54428</xdr:rowOff>
    </xdr:from>
    <xdr:to>
      <xdr:col>13</xdr:col>
      <xdr:colOff>221666</xdr:colOff>
      <xdr:row>35</xdr:row>
      <xdr:rowOff>95248</xdr:rowOff>
    </xdr:to>
    <xdr:sp macro="" textlink="$M$33">
      <xdr:nvSpPr>
        <xdr:cNvPr id="164" name="Rectángulo 163">
          <a:extLst>
            <a:ext uri="{FF2B5EF4-FFF2-40B4-BE49-F238E27FC236}">
              <a16:creationId xmlns:a16="http://schemas.microsoft.com/office/drawing/2014/main" id="{A0AE00BA-9E6C-0A2A-C5C8-69426B32FDF3}"/>
            </a:ext>
          </a:extLst>
        </xdr:cNvPr>
        <xdr:cNvSpPr/>
      </xdr:nvSpPr>
      <xdr:spPr>
        <a:xfrm>
          <a:off x="6825837" y="8450035"/>
          <a:ext cx="2172436" cy="571499"/>
        </a:xfrm>
        <a:prstGeom prst="rect">
          <a:avLst/>
        </a:prstGeom>
        <a:solidFill>
          <a:srgbClr val="ACBBC8"/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A9C12F0-710C-4780-8F72-BEA2057C43AA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S/ 1,428.99</a:t>
          </a:fld>
          <a:endParaRPr lang="es-PE" sz="2400" b="1">
            <a:solidFill>
              <a:schemeClr val="tx2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315426</xdr:colOff>
      <xdr:row>33</xdr:row>
      <xdr:rowOff>49891</xdr:rowOff>
    </xdr:from>
    <xdr:to>
      <xdr:col>15</xdr:col>
      <xdr:colOff>397808</xdr:colOff>
      <xdr:row>35</xdr:row>
      <xdr:rowOff>87060</xdr:rowOff>
    </xdr:to>
    <xdr:sp macro="" textlink="$O$33">
      <xdr:nvSpPr>
        <xdr:cNvPr id="166" name="Rectángulo 165">
          <a:extLst>
            <a:ext uri="{FF2B5EF4-FFF2-40B4-BE49-F238E27FC236}">
              <a16:creationId xmlns:a16="http://schemas.microsoft.com/office/drawing/2014/main" id="{C0C47549-B1DA-F3FD-0E9B-5ABC53C2303C}"/>
            </a:ext>
          </a:extLst>
        </xdr:cNvPr>
        <xdr:cNvSpPr/>
      </xdr:nvSpPr>
      <xdr:spPr>
        <a:xfrm>
          <a:off x="9102239" y="8360454"/>
          <a:ext cx="1939757" cy="561044"/>
        </a:xfrm>
        <a:prstGeom prst="rect">
          <a:avLst/>
        </a:prstGeom>
        <a:solidFill>
          <a:srgbClr val="BDD8E9"/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A07F68F-43AA-4AF0-86EB-1F1D1D529A02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S/ 368.83</a:t>
          </a:fld>
          <a:endParaRPr lang="es-PE" sz="2400" b="1">
            <a:solidFill>
              <a:schemeClr val="tx2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529450</xdr:colOff>
      <xdr:row>33</xdr:row>
      <xdr:rowOff>50250</xdr:rowOff>
    </xdr:from>
    <xdr:to>
      <xdr:col>17</xdr:col>
      <xdr:colOff>503465</xdr:colOff>
      <xdr:row>35</xdr:row>
      <xdr:rowOff>95249</xdr:rowOff>
    </xdr:to>
    <xdr:sp macro="" textlink="$Q$33">
      <xdr:nvSpPr>
        <xdr:cNvPr id="168" name="Rectángulo 167">
          <a:extLst>
            <a:ext uri="{FF2B5EF4-FFF2-40B4-BE49-F238E27FC236}">
              <a16:creationId xmlns:a16="http://schemas.microsoft.com/office/drawing/2014/main" id="{FD835AE9-FD33-2F96-A32A-F4DD1030995C}"/>
            </a:ext>
          </a:extLst>
        </xdr:cNvPr>
        <xdr:cNvSpPr/>
      </xdr:nvSpPr>
      <xdr:spPr>
        <a:xfrm>
          <a:off x="11173638" y="8360813"/>
          <a:ext cx="1974265" cy="568874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7C55922-C849-4DED-8AE0-2BE0FD36DEA8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S/ 2,481.56</a:t>
          </a:fld>
          <a:endParaRPr lang="es-PE" sz="2400" b="1">
            <a:solidFill>
              <a:schemeClr val="tx2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623203</xdr:colOff>
      <xdr:row>33</xdr:row>
      <xdr:rowOff>49893</xdr:rowOff>
    </xdr:from>
    <xdr:to>
      <xdr:col>19</xdr:col>
      <xdr:colOff>1425548</xdr:colOff>
      <xdr:row>35</xdr:row>
      <xdr:rowOff>95249</xdr:rowOff>
    </xdr:to>
    <xdr:sp macro="" textlink="$T$33">
      <xdr:nvSpPr>
        <xdr:cNvPr id="170" name="Rectángulo 169">
          <a:extLst>
            <a:ext uri="{FF2B5EF4-FFF2-40B4-BE49-F238E27FC236}">
              <a16:creationId xmlns:a16="http://schemas.microsoft.com/office/drawing/2014/main" id="{F00A0DE7-ABB1-6AC2-B0A4-5340EA62DBC9}"/>
            </a:ext>
          </a:extLst>
        </xdr:cNvPr>
        <xdr:cNvSpPr/>
      </xdr:nvSpPr>
      <xdr:spPr>
        <a:xfrm>
          <a:off x="13267641" y="8360456"/>
          <a:ext cx="2326345" cy="569231"/>
        </a:xfrm>
        <a:prstGeom prst="rect">
          <a:avLst/>
        </a:prstGeom>
        <a:solidFill>
          <a:srgbClr val="ACBBC8"/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B317A49E-2920-489E-8178-36AC1D957E3A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Arial"/>
              <a:ea typeface="+mn-ea"/>
              <a:cs typeface="Arial"/>
            </a:rPr>
            <a:pPr marL="0" indent="0" algn="ctr"/>
            <a:t>40%</a:t>
          </a:fld>
          <a:endParaRPr lang="es-PE" sz="2400" b="1" i="0" u="none" strike="noStrike">
            <a:solidFill>
              <a:schemeClr val="tx2">
                <a:lumMod val="75000"/>
              </a:schemeClr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6</xdr:col>
      <xdr:colOff>81083</xdr:colOff>
      <xdr:row>57</xdr:row>
      <xdr:rowOff>155864</xdr:rowOff>
    </xdr:from>
    <xdr:to>
      <xdr:col>8</xdr:col>
      <xdr:colOff>663530</xdr:colOff>
      <xdr:row>64</xdr:row>
      <xdr:rowOff>162021</xdr:rowOff>
    </xdr:to>
    <xdr:sp macro="" textlink="$H$59">
      <xdr:nvSpPr>
        <xdr:cNvPr id="172" name="Rectángulo 171">
          <a:extLst>
            <a:ext uri="{FF2B5EF4-FFF2-40B4-BE49-F238E27FC236}">
              <a16:creationId xmlns:a16="http://schemas.microsoft.com/office/drawing/2014/main" id="{F209B69F-863B-D628-1182-9E84486408E7}"/>
            </a:ext>
          </a:extLst>
        </xdr:cNvPr>
        <xdr:cNvSpPr/>
      </xdr:nvSpPr>
      <xdr:spPr>
        <a:xfrm>
          <a:off x="2609538" y="13352319"/>
          <a:ext cx="2071810" cy="1408929"/>
        </a:xfrm>
        <a:prstGeom prst="rect">
          <a:avLst/>
        </a:prstGeom>
        <a:solidFill>
          <a:srgbClr val="C55E5B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FF800A3-5F09-4870-9A59-95BA6773B4EE}" type="TxLink">
            <a:rPr lang="en-US" sz="2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S/ 5.51</a:t>
          </a:fld>
          <a:endParaRPr lang="es-PE" sz="4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13497</xdr:colOff>
      <xdr:row>57</xdr:row>
      <xdr:rowOff>145398</xdr:rowOff>
    </xdr:from>
    <xdr:to>
      <xdr:col>11</xdr:col>
      <xdr:colOff>86591</xdr:colOff>
      <xdr:row>64</xdr:row>
      <xdr:rowOff>138546</xdr:rowOff>
    </xdr:to>
    <xdr:sp macro="" textlink="$K$40">
      <xdr:nvSpPr>
        <xdr:cNvPr id="174" name="Rectángulo 173">
          <a:extLst>
            <a:ext uri="{FF2B5EF4-FFF2-40B4-BE49-F238E27FC236}">
              <a16:creationId xmlns:a16="http://schemas.microsoft.com/office/drawing/2014/main" id="{DE74C1CA-9675-8A7B-0F7D-61A1A6D071E9}"/>
            </a:ext>
          </a:extLst>
        </xdr:cNvPr>
        <xdr:cNvSpPr/>
      </xdr:nvSpPr>
      <xdr:spPr>
        <a:xfrm>
          <a:off x="4793315" y="13341853"/>
          <a:ext cx="1995412" cy="1395920"/>
        </a:xfrm>
        <a:prstGeom prst="rect">
          <a:avLst/>
        </a:prstGeom>
        <a:solidFill>
          <a:srgbClr val="6EA2B3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6BD78D0-E664-48A2-B861-3668E3E0D581}" type="TxLink">
            <a:rPr lang="en-US" sz="2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S/ 6.51</a:t>
          </a:fld>
          <a:endParaRPr lang="es-PE" sz="24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319874</xdr:colOff>
      <xdr:row>56</xdr:row>
      <xdr:rowOff>136190</xdr:rowOff>
    </xdr:from>
    <xdr:to>
      <xdr:col>3</xdr:col>
      <xdr:colOff>179822</xdr:colOff>
      <xdr:row>64</xdr:row>
      <xdr:rowOff>142876</xdr:rowOff>
    </xdr:to>
    <xdr:sp macro="" textlink="">
      <xdr:nvSpPr>
        <xdr:cNvPr id="215" name="Rectángulo: esquinas redondeadas 2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276906F-B045-4223-AA33-BC1B30F595F4}"/>
            </a:ext>
          </a:extLst>
        </xdr:cNvPr>
        <xdr:cNvSpPr/>
      </xdr:nvSpPr>
      <xdr:spPr>
        <a:xfrm>
          <a:off x="1081874" y="12994940"/>
          <a:ext cx="955323" cy="1602124"/>
        </a:xfrm>
        <a:prstGeom prst="roundRect">
          <a:avLst>
            <a:gd name="adj" fmla="val 0"/>
          </a:avLst>
        </a:prstGeom>
        <a:solidFill>
          <a:srgbClr val="ACBBC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CRÉDITO</a:t>
          </a:r>
          <a:r>
            <a:rPr lang="es-PE" sz="1800" b="1" baseline="0">
              <a:solidFill>
                <a:sysClr val="windowText" lastClr="000000"/>
              </a:solidFill>
            </a:rPr>
            <a:t> FISCAL</a:t>
          </a:r>
          <a:endParaRPr lang="es-PE" sz="4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322447</xdr:colOff>
      <xdr:row>41</xdr:row>
      <xdr:rowOff>98333</xdr:rowOff>
    </xdr:from>
    <xdr:to>
      <xdr:col>3</xdr:col>
      <xdr:colOff>132810</xdr:colOff>
      <xdr:row>56</xdr:row>
      <xdr:rowOff>126915</xdr:rowOff>
    </xdr:to>
    <xdr:sp macro="" textlink="">
      <xdr:nvSpPr>
        <xdr:cNvPr id="212" name="Rectángulo: esquinas redondeadas 2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C266496-8710-446B-9EA4-F729171469D7}"/>
            </a:ext>
          </a:extLst>
        </xdr:cNvPr>
        <xdr:cNvSpPr/>
      </xdr:nvSpPr>
      <xdr:spPr>
        <a:xfrm>
          <a:off x="1084447" y="10028146"/>
          <a:ext cx="905738" cy="2957519"/>
        </a:xfrm>
        <a:prstGeom prst="roundRect">
          <a:avLst>
            <a:gd name="adj" fmla="val 0"/>
          </a:avLst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2400" b="0">
              <a:solidFill>
                <a:schemeClr val="bg1"/>
              </a:solidFill>
            </a:rPr>
            <a:t>PRECIO DE VENTA</a:t>
          </a:r>
          <a:endParaRPr lang="es-PE" sz="4800" b="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322447</xdr:colOff>
      <xdr:row>15</xdr:row>
      <xdr:rowOff>90920</xdr:rowOff>
    </xdr:from>
    <xdr:to>
      <xdr:col>4</xdr:col>
      <xdr:colOff>17647</xdr:colOff>
      <xdr:row>28</xdr:row>
      <xdr:rowOff>171450</xdr:rowOff>
    </xdr:to>
    <xdr:sp macro="" textlink="">
      <xdr:nvSpPr>
        <xdr:cNvPr id="213" name="Rectángulo: esquinas redondeadas 2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EEE63A2-7A3B-439A-8962-DEAA1F0AD8D1}"/>
            </a:ext>
          </a:extLst>
        </xdr:cNvPr>
        <xdr:cNvSpPr/>
      </xdr:nvSpPr>
      <xdr:spPr>
        <a:xfrm>
          <a:off x="1084447" y="3781858"/>
          <a:ext cx="981075" cy="3319030"/>
        </a:xfrm>
        <a:prstGeom prst="roundRect">
          <a:avLst>
            <a:gd name="adj" fmla="val 0"/>
          </a:avLst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2000" b="0">
              <a:solidFill>
                <a:sysClr val="windowText" lastClr="000000"/>
              </a:solidFill>
            </a:rPr>
            <a:t>TRIBUTOS</a:t>
          </a:r>
          <a:r>
            <a:rPr lang="es-PE" sz="2000" b="0" baseline="0">
              <a:solidFill>
                <a:sysClr val="windowText" lastClr="000000"/>
              </a:solidFill>
            </a:rPr>
            <a:t> DE ADUANA</a:t>
          </a:r>
          <a:endParaRPr lang="es-PE" sz="44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322447</xdr:colOff>
      <xdr:row>28</xdr:row>
      <xdr:rowOff>152889</xdr:rowOff>
    </xdr:from>
    <xdr:to>
      <xdr:col>3</xdr:col>
      <xdr:colOff>172040</xdr:colOff>
      <xdr:row>41</xdr:row>
      <xdr:rowOff>80761</xdr:rowOff>
    </xdr:to>
    <xdr:sp macro="" textlink="">
      <xdr:nvSpPr>
        <xdr:cNvPr id="214" name="Rectángulo: esquinas redondeadas 2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4DE7C92-3632-421F-A7B9-4813FC0377EE}"/>
            </a:ext>
          </a:extLst>
        </xdr:cNvPr>
        <xdr:cNvSpPr/>
      </xdr:nvSpPr>
      <xdr:spPr>
        <a:xfrm>
          <a:off x="1084447" y="7082327"/>
          <a:ext cx="944968" cy="2928247"/>
        </a:xfrm>
        <a:prstGeom prst="roundRect">
          <a:avLst>
            <a:gd name="adj" fmla="val 0"/>
          </a:avLst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chemeClr val="bg1"/>
              </a:solidFill>
            </a:rPr>
            <a:t>COSTO DEL PRODUCTO</a:t>
          </a:r>
        </a:p>
      </xdr:txBody>
    </xdr:sp>
    <xdr:clientData/>
  </xdr:twoCellAnchor>
  <xdr:twoCellAnchor>
    <xdr:from>
      <xdr:col>5</xdr:col>
      <xdr:colOff>714068</xdr:colOff>
      <xdr:row>13</xdr:row>
      <xdr:rowOff>340509</xdr:rowOff>
    </xdr:from>
    <xdr:to>
      <xdr:col>5</xdr:col>
      <xdr:colOff>714068</xdr:colOff>
      <xdr:row>13</xdr:row>
      <xdr:rowOff>340509</xdr:rowOff>
    </xdr:to>
    <xdr:cxnSp macro="">
      <xdr:nvCxnSpPr>
        <xdr:cNvPr id="216" name="Conector recto 215">
          <a:extLst>
            <a:ext uri="{FF2B5EF4-FFF2-40B4-BE49-F238E27FC236}">
              <a16:creationId xmlns:a16="http://schemas.microsoft.com/office/drawing/2014/main" id="{C0362EB4-3223-493E-A23D-A74802EADA61}"/>
            </a:ext>
          </a:extLst>
        </xdr:cNvPr>
        <xdr:cNvCxnSpPr>
          <a:cxnSpLocks/>
        </xdr:cNvCxnSpPr>
      </xdr:nvCxnSpPr>
      <xdr:spPr>
        <a:xfrm>
          <a:off x="2857193" y="2936072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129148</xdr:colOff>
      <xdr:row>57</xdr:row>
      <xdr:rowOff>108241</xdr:rowOff>
    </xdr:from>
    <xdr:to>
      <xdr:col>5</xdr:col>
      <xdr:colOff>737519</xdr:colOff>
      <xdr:row>64</xdr:row>
      <xdr:rowOff>142876</xdr:rowOff>
    </xdr:to>
    <xdr:sp macro="" textlink="">
      <xdr:nvSpPr>
        <xdr:cNvPr id="217" name="Rectángulo: esquinas redondeadas 2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6CA5E41-3BDF-4494-AAC3-17CE8EA993EF}"/>
            </a:ext>
          </a:extLst>
        </xdr:cNvPr>
        <xdr:cNvSpPr/>
      </xdr:nvSpPr>
      <xdr:spPr>
        <a:xfrm>
          <a:off x="1986523" y="13157491"/>
          <a:ext cx="894121" cy="1439573"/>
        </a:xfrm>
        <a:prstGeom prst="roundRect">
          <a:avLst>
            <a:gd name="adj" fmla="val 0"/>
          </a:avLst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 GENERAL</a:t>
          </a:r>
        </a:p>
      </xdr:txBody>
    </xdr:sp>
    <xdr:clientData/>
  </xdr:twoCellAnchor>
  <xdr:twoCellAnchor>
    <xdr:from>
      <xdr:col>3</xdr:col>
      <xdr:colOff>132352</xdr:colOff>
      <xdr:row>47</xdr:row>
      <xdr:rowOff>38967</xdr:rowOff>
    </xdr:from>
    <xdr:to>
      <xdr:col>5</xdr:col>
      <xdr:colOff>744323</xdr:colOff>
      <xdr:row>57</xdr:row>
      <xdr:rowOff>86935</xdr:rowOff>
    </xdr:to>
    <xdr:sp macro="" textlink="">
      <xdr:nvSpPr>
        <xdr:cNvPr id="219" name="Rectángulo: esquinas redondeadas 21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BE96D85-3EDC-48A8-832B-B9F564DB5033}"/>
            </a:ext>
          </a:extLst>
        </xdr:cNvPr>
        <xdr:cNvSpPr/>
      </xdr:nvSpPr>
      <xdr:spPr>
        <a:xfrm>
          <a:off x="1989727" y="11111780"/>
          <a:ext cx="897721" cy="2024405"/>
        </a:xfrm>
        <a:prstGeom prst="roundRect">
          <a:avLst>
            <a:gd name="adj" fmla="val 0"/>
          </a:avLst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GASTOS DE IMPORTACIÓN</a:t>
          </a:r>
        </a:p>
      </xdr:txBody>
    </xdr:sp>
    <xdr:clientData/>
  </xdr:twoCellAnchor>
  <xdr:twoCellAnchor>
    <xdr:from>
      <xdr:col>3</xdr:col>
      <xdr:colOff>127415</xdr:colOff>
      <xdr:row>39</xdr:row>
      <xdr:rowOff>71871</xdr:rowOff>
    </xdr:from>
    <xdr:to>
      <xdr:col>5</xdr:col>
      <xdr:colOff>735786</xdr:colOff>
      <xdr:row>47</xdr:row>
      <xdr:rowOff>55380</xdr:rowOff>
    </xdr:to>
    <xdr:sp macro="" textlink="">
      <xdr:nvSpPr>
        <xdr:cNvPr id="218" name="Rectángulo: esquinas redondeadas 21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0C2FE40-0852-412B-B8E1-375F5DC6DAEE}"/>
            </a:ext>
          </a:extLst>
        </xdr:cNvPr>
        <xdr:cNvSpPr/>
      </xdr:nvSpPr>
      <xdr:spPr>
        <a:xfrm>
          <a:off x="1984790" y="9525434"/>
          <a:ext cx="894121" cy="1602759"/>
        </a:xfrm>
        <a:prstGeom prst="roundRect">
          <a:avLst>
            <a:gd name="adj" fmla="val 0"/>
          </a:avLst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FACTURA</a:t>
          </a:r>
          <a:r>
            <a:rPr lang="es-PE" sz="1800" b="1" baseline="0">
              <a:solidFill>
                <a:sysClr val="windowText" lastClr="000000"/>
              </a:solidFill>
            </a:rPr>
            <a:t> COMECIAL </a:t>
          </a:r>
          <a:endParaRPr lang="es-PE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116108</xdr:colOff>
      <xdr:row>30</xdr:row>
      <xdr:rowOff>146516</xdr:rowOff>
    </xdr:from>
    <xdr:to>
      <xdr:col>5</xdr:col>
      <xdr:colOff>733138</xdr:colOff>
      <xdr:row>39</xdr:row>
      <xdr:rowOff>50013</xdr:rowOff>
    </xdr:to>
    <xdr:sp macro="" textlink="">
      <xdr:nvSpPr>
        <xdr:cNvPr id="220" name="Rectángulo: esquinas redondeadas 21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B3F5693-EE3D-425F-A0C0-85F4079DF29A}"/>
            </a:ext>
          </a:extLst>
        </xdr:cNvPr>
        <xdr:cNvSpPr/>
      </xdr:nvSpPr>
      <xdr:spPr>
        <a:xfrm>
          <a:off x="1973483" y="7599829"/>
          <a:ext cx="902780" cy="1903747"/>
        </a:xfrm>
        <a:prstGeom prst="roundRect">
          <a:avLst>
            <a:gd name="adj" fmla="val 0"/>
          </a:avLst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2400" b="1">
              <a:solidFill>
                <a:sysClr val="windowText" lastClr="000000"/>
              </a:solidFill>
            </a:rPr>
            <a:t>DATOS</a:t>
          </a:r>
        </a:p>
      </xdr:txBody>
    </xdr:sp>
    <xdr:clientData/>
  </xdr:twoCellAnchor>
  <xdr:twoCellAnchor>
    <xdr:from>
      <xdr:col>3</xdr:col>
      <xdr:colOff>110708</xdr:colOff>
      <xdr:row>21</xdr:row>
      <xdr:rowOff>172088</xdr:rowOff>
    </xdr:from>
    <xdr:to>
      <xdr:col>5</xdr:col>
      <xdr:colOff>728604</xdr:colOff>
      <xdr:row>30</xdr:row>
      <xdr:rowOff>133350</xdr:rowOff>
    </xdr:to>
    <xdr:sp macro="" textlink="">
      <xdr:nvSpPr>
        <xdr:cNvPr id="221" name="Rectángulo: esquinas redondeadas 22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7070223-BDE7-4BB9-8787-EF86D3AB0BE4}"/>
            </a:ext>
          </a:extLst>
        </xdr:cNvPr>
        <xdr:cNvSpPr/>
      </xdr:nvSpPr>
      <xdr:spPr>
        <a:xfrm>
          <a:off x="1968083" y="5672776"/>
          <a:ext cx="903646" cy="1913887"/>
        </a:xfrm>
        <a:prstGeom prst="roundRect">
          <a:avLst>
            <a:gd name="adj" fmla="val 0"/>
          </a:avLst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0"/>
            <a:t>INTRODUCCIÓN</a:t>
          </a:r>
        </a:p>
        <a:p>
          <a:pPr algn="ctr"/>
          <a:endParaRPr lang="es-PE" sz="4400" b="1"/>
        </a:p>
      </xdr:txBody>
    </xdr:sp>
    <xdr:clientData/>
  </xdr:twoCellAnchor>
  <xdr:twoCellAnchor>
    <xdr:from>
      <xdr:col>3</xdr:col>
      <xdr:colOff>112897</xdr:colOff>
      <xdr:row>15</xdr:row>
      <xdr:rowOff>86591</xdr:rowOff>
    </xdr:from>
    <xdr:to>
      <xdr:col>5</xdr:col>
      <xdr:colOff>725793</xdr:colOff>
      <xdr:row>21</xdr:row>
      <xdr:rowOff>190500</xdr:rowOff>
    </xdr:to>
    <xdr:sp macro="" textlink="">
      <xdr:nvSpPr>
        <xdr:cNvPr id="222" name="Rectángulo: esquinas redondeadas 22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B63C78A-A1A6-49BB-A402-916B3AC1545F}"/>
            </a:ext>
          </a:extLst>
        </xdr:cNvPr>
        <xdr:cNvSpPr/>
      </xdr:nvSpPr>
      <xdr:spPr>
        <a:xfrm>
          <a:off x="1970272" y="3777529"/>
          <a:ext cx="898646" cy="1913659"/>
        </a:xfrm>
        <a:prstGeom prst="roundRect">
          <a:avLst>
            <a:gd name="adj" fmla="val 0"/>
          </a:avLst>
        </a:prstGeom>
        <a:solidFill>
          <a:srgbClr val="002060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1"/>
        <a:lstStyle/>
        <a:p>
          <a:pPr algn="ctr"/>
          <a:r>
            <a:rPr lang="es-PE" sz="2400" b="0">
              <a:effectLst>
                <a:outerShdw blurRad="50800" dist="50800" dir="5400000" sx="6000" sy="6000" algn="ctr" rotWithShape="0">
                  <a:srgbClr val="000000">
                    <a:alpha val="43137"/>
                  </a:srgbClr>
                </a:outerShdw>
              </a:effectLst>
            </a:rPr>
            <a:t>INICIO</a:t>
          </a:r>
        </a:p>
        <a:p>
          <a:pPr algn="ctr"/>
          <a:endParaRPr lang="es-PE" sz="2400" b="0"/>
        </a:p>
      </xdr:txBody>
    </xdr:sp>
    <xdr:clientData/>
  </xdr:twoCellAnchor>
  <xdr:twoCellAnchor>
    <xdr:from>
      <xdr:col>28</xdr:col>
      <xdr:colOff>404825</xdr:colOff>
      <xdr:row>15</xdr:row>
      <xdr:rowOff>119062</xdr:rowOff>
    </xdr:from>
    <xdr:to>
      <xdr:col>40</xdr:col>
      <xdr:colOff>690567</xdr:colOff>
      <xdr:row>35</xdr:row>
      <xdr:rowOff>14286</xdr:rowOff>
    </xdr:to>
    <xdr:sp macro="" textlink="">
      <xdr:nvSpPr>
        <xdr:cNvPr id="226" name="Rectángulo: esquinas redondeadas 225">
          <a:extLst>
            <a:ext uri="{FF2B5EF4-FFF2-40B4-BE49-F238E27FC236}">
              <a16:creationId xmlns:a16="http://schemas.microsoft.com/office/drawing/2014/main" id="{DD41E03E-BA27-449F-BDE0-2F5FCBBF0B5A}"/>
            </a:ext>
          </a:extLst>
        </xdr:cNvPr>
        <xdr:cNvSpPr/>
      </xdr:nvSpPr>
      <xdr:spPr>
        <a:xfrm>
          <a:off x="22669513" y="3810000"/>
          <a:ext cx="9429742" cy="4895849"/>
        </a:xfrm>
        <a:prstGeom prst="roundRect">
          <a:avLst>
            <a:gd name="adj" fmla="val 696"/>
          </a:avLst>
        </a:prstGeom>
        <a:solidFill>
          <a:sysClr val="window" lastClr="FFFFFF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28</xdr:col>
      <xdr:colOff>414352</xdr:colOff>
      <xdr:row>36</xdr:row>
      <xdr:rowOff>152399</xdr:rowOff>
    </xdr:from>
    <xdr:to>
      <xdr:col>41</xdr:col>
      <xdr:colOff>4</xdr:colOff>
      <xdr:row>64</xdr:row>
      <xdr:rowOff>217714</xdr:rowOff>
    </xdr:to>
    <xdr:sp macro="" textlink="">
      <xdr:nvSpPr>
        <xdr:cNvPr id="232" name="Rectángulo: esquinas redondeadas 231">
          <a:extLst>
            <a:ext uri="{FF2B5EF4-FFF2-40B4-BE49-F238E27FC236}">
              <a16:creationId xmlns:a16="http://schemas.microsoft.com/office/drawing/2014/main" id="{2657B3C0-1AE3-4547-8E2B-3EFD3F071D9E}"/>
            </a:ext>
          </a:extLst>
        </xdr:cNvPr>
        <xdr:cNvSpPr/>
      </xdr:nvSpPr>
      <xdr:spPr>
        <a:xfrm>
          <a:off x="22679040" y="9034462"/>
          <a:ext cx="9491652" cy="5637440"/>
        </a:xfrm>
        <a:prstGeom prst="roundRect">
          <a:avLst>
            <a:gd name="adj" fmla="val 696"/>
          </a:avLst>
        </a:prstGeom>
        <a:solidFill>
          <a:sysClr val="window" lastClr="FFFFFF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120464</xdr:colOff>
      <xdr:row>19</xdr:row>
      <xdr:rowOff>62802</xdr:rowOff>
    </xdr:from>
    <xdr:to>
      <xdr:col>8</xdr:col>
      <xdr:colOff>683559</xdr:colOff>
      <xdr:row>21</xdr:row>
      <xdr:rowOff>217714</xdr:rowOff>
    </xdr:to>
    <xdr:sp macro="" textlink="'🏦Detallado por Producto'!E7">
      <xdr:nvSpPr>
        <xdr:cNvPr id="3" name="Rectángulo 2">
          <a:extLst>
            <a:ext uri="{FF2B5EF4-FFF2-40B4-BE49-F238E27FC236}">
              <a16:creationId xmlns:a16="http://schemas.microsoft.com/office/drawing/2014/main" id="{1A1C00CB-55A4-95B6-8CD5-176B4D129C9C}"/>
            </a:ext>
          </a:extLst>
        </xdr:cNvPr>
        <xdr:cNvSpPr/>
      </xdr:nvSpPr>
      <xdr:spPr>
        <a:xfrm>
          <a:off x="2637785" y="4852516"/>
          <a:ext cx="2059881" cy="91691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D62B511-2489-4648-BD2F-63AAD27FFFA1}" type="TxLink">
            <a:rPr lang="en-US" sz="20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rPr>
            <a:pPr algn="ctr"/>
            <a:t>CANTIDAD
(unid.)</a:t>
          </a:fld>
          <a:endParaRPr lang="es-PE" sz="20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9</xdr:col>
      <xdr:colOff>8006</xdr:colOff>
      <xdr:row>19</xdr:row>
      <xdr:rowOff>62443</xdr:rowOff>
    </xdr:from>
    <xdr:to>
      <xdr:col>11</xdr:col>
      <xdr:colOff>30417</xdr:colOff>
      <xdr:row>21</xdr:row>
      <xdr:rowOff>204107</xdr:rowOff>
    </xdr:to>
    <xdr:sp macro="" textlink="'🏦Detallado por Producto'!F7">
      <xdr:nvSpPr>
        <xdr:cNvPr id="4" name="Rectángulo 3">
          <a:extLst>
            <a:ext uri="{FF2B5EF4-FFF2-40B4-BE49-F238E27FC236}">
              <a16:creationId xmlns:a16="http://schemas.microsoft.com/office/drawing/2014/main" id="{C7810395-2F17-6307-A294-A38D0673400F}"/>
            </a:ext>
          </a:extLst>
        </xdr:cNvPr>
        <xdr:cNvSpPr/>
      </xdr:nvSpPr>
      <xdr:spPr>
        <a:xfrm>
          <a:off x="4784113" y="4852157"/>
          <a:ext cx="1941018" cy="90366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E979A46-1F72-42ED-989E-3DA2FA212C9B}" type="TxLink">
            <a:rPr lang="en-US" sz="20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rPr>
            <a:pPr algn="ctr"/>
            <a:t>FOB UNIT.
(US$)</a:t>
          </a:fld>
          <a:endParaRPr lang="es-PE" sz="20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11</xdr:col>
      <xdr:colOff>120240</xdr:colOff>
      <xdr:row>19</xdr:row>
      <xdr:rowOff>64486</xdr:rowOff>
    </xdr:from>
    <xdr:to>
      <xdr:col>13</xdr:col>
      <xdr:colOff>168890</xdr:colOff>
      <xdr:row>21</xdr:row>
      <xdr:rowOff>190500</xdr:rowOff>
    </xdr:to>
    <xdr:sp macro="" textlink="'🏦Detallado por Producto'!G7">
      <xdr:nvSpPr>
        <xdr:cNvPr id="8" name="Rectángulo 7">
          <a:extLst>
            <a:ext uri="{FF2B5EF4-FFF2-40B4-BE49-F238E27FC236}">
              <a16:creationId xmlns:a16="http://schemas.microsoft.com/office/drawing/2014/main" id="{D2DFF3A9-10C7-04CB-CE9F-CACAA9043CB0}"/>
            </a:ext>
          </a:extLst>
        </xdr:cNvPr>
        <xdr:cNvSpPr/>
      </xdr:nvSpPr>
      <xdr:spPr>
        <a:xfrm>
          <a:off x="6814954" y="4854200"/>
          <a:ext cx="2130543" cy="8880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6B5B843-ABDB-455B-B132-3C6B5D14CB57}" type="TxLink">
            <a:rPr lang="en-US" sz="20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rPr>
            <a:pPr algn="ctr"/>
            <a:t>FOB TOTAL
(US$)</a:t>
          </a:fld>
          <a:endParaRPr lang="es-PE" sz="20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13</xdr:col>
      <xdr:colOff>247569</xdr:colOff>
      <xdr:row>19</xdr:row>
      <xdr:rowOff>77734</xdr:rowOff>
    </xdr:from>
    <xdr:to>
      <xdr:col>15</xdr:col>
      <xdr:colOff>318568</xdr:colOff>
      <xdr:row>21</xdr:row>
      <xdr:rowOff>190500</xdr:rowOff>
    </xdr:to>
    <xdr:sp macro="" textlink="'🏦Detallado por Producto'!H7">
      <xdr:nvSpPr>
        <xdr:cNvPr id="9" name="Rectángulo 8">
          <a:extLst>
            <a:ext uri="{FF2B5EF4-FFF2-40B4-BE49-F238E27FC236}">
              <a16:creationId xmlns:a16="http://schemas.microsoft.com/office/drawing/2014/main" id="{5AF6FFA1-D5BD-7E3D-967C-E800EF6BAD6D}"/>
            </a:ext>
          </a:extLst>
        </xdr:cNvPr>
        <xdr:cNvSpPr/>
      </xdr:nvSpPr>
      <xdr:spPr>
        <a:xfrm>
          <a:off x="9024176" y="4867448"/>
          <a:ext cx="1935178" cy="87476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FD5C25C-38F6-451E-9A43-9CCC4C50C129}" type="TxLink">
            <a:rPr lang="en-US" sz="20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rPr>
            <a:pPr algn="ctr"/>
            <a:t>% PART.
FOB</a:t>
          </a:fld>
          <a:endParaRPr lang="es-PE" sz="20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15</xdr:col>
      <xdr:colOff>414039</xdr:colOff>
      <xdr:row>19</xdr:row>
      <xdr:rowOff>62085</xdr:rowOff>
    </xdr:from>
    <xdr:to>
      <xdr:col>17</xdr:col>
      <xdr:colOff>495460</xdr:colOff>
      <xdr:row>21</xdr:row>
      <xdr:rowOff>176892</xdr:rowOff>
    </xdr:to>
    <xdr:sp macro="" textlink="'🏦Detallado por Producto'!I7">
      <xdr:nvSpPr>
        <xdr:cNvPr id="10" name="Rectángulo 9">
          <a:extLst>
            <a:ext uri="{FF2B5EF4-FFF2-40B4-BE49-F238E27FC236}">
              <a16:creationId xmlns:a16="http://schemas.microsoft.com/office/drawing/2014/main" id="{BEA05554-1DF7-E133-3489-E596AFB301E4}"/>
            </a:ext>
          </a:extLst>
        </xdr:cNvPr>
        <xdr:cNvSpPr/>
      </xdr:nvSpPr>
      <xdr:spPr>
        <a:xfrm>
          <a:off x="11054825" y="4851799"/>
          <a:ext cx="2081671" cy="876807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CEC94FD-6A6C-4F8E-8065-00405C99B7D1}" type="TxLink">
            <a:rPr lang="en-US" sz="20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rPr>
            <a:pPr algn="ctr"/>
            <a:t>FOB UNIT.
(S/.)</a:t>
          </a:fld>
          <a:endParaRPr lang="es-PE" sz="20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17</xdr:col>
      <xdr:colOff>605207</xdr:colOff>
      <xdr:row>19</xdr:row>
      <xdr:rowOff>64126</xdr:rowOff>
    </xdr:from>
    <xdr:to>
      <xdr:col>19</xdr:col>
      <xdr:colOff>1420746</xdr:colOff>
      <xdr:row>21</xdr:row>
      <xdr:rowOff>163285</xdr:rowOff>
    </xdr:to>
    <xdr:sp macro="" textlink="'🏦Detallado por Producto'!J7">
      <xdr:nvSpPr>
        <xdr:cNvPr id="11" name="Rectángulo 10">
          <a:extLst>
            <a:ext uri="{FF2B5EF4-FFF2-40B4-BE49-F238E27FC236}">
              <a16:creationId xmlns:a16="http://schemas.microsoft.com/office/drawing/2014/main" id="{84C50385-208E-DBE8-F339-CF01409EB424}"/>
            </a:ext>
          </a:extLst>
        </xdr:cNvPr>
        <xdr:cNvSpPr/>
      </xdr:nvSpPr>
      <xdr:spPr>
        <a:xfrm>
          <a:off x="13246243" y="4853840"/>
          <a:ext cx="2339539" cy="861159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8F111A0-0EF2-4B19-BE07-B52F64435D27}" type="TxLink">
            <a:rPr lang="en-US" sz="20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rPr>
            <a:pPr algn="ctr"/>
            <a:t>FOB TOTAL
(S/.)</a:t>
          </a:fld>
          <a:endParaRPr lang="es-PE" sz="20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9</xdr:col>
      <xdr:colOff>35837</xdr:colOff>
      <xdr:row>40</xdr:row>
      <xdr:rowOff>40427</xdr:rowOff>
    </xdr:from>
    <xdr:to>
      <xdr:col>11</xdr:col>
      <xdr:colOff>87416</xdr:colOff>
      <xdr:row>45</xdr:row>
      <xdr:rowOff>11530</xdr:rowOff>
    </xdr:to>
    <xdr:sp macro="" textlink="'🏦Detallado por Producto'!M20">
      <xdr:nvSpPr>
        <xdr:cNvPr id="12" name="Rectángulo 11">
          <a:extLst>
            <a:ext uri="{FF2B5EF4-FFF2-40B4-BE49-F238E27FC236}">
              <a16:creationId xmlns:a16="http://schemas.microsoft.com/office/drawing/2014/main" id="{7D336229-7AD6-1223-F2B2-0EACCF404B37}"/>
            </a:ext>
          </a:extLst>
        </xdr:cNvPr>
        <xdr:cNvSpPr/>
      </xdr:nvSpPr>
      <xdr:spPr>
        <a:xfrm>
          <a:off x="4822150" y="9922615"/>
          <a:ext cx="1956579" cy="923603"/>
        </a:xfrm>
        <a:prstGeom prst="rect">
          <a:avLst/>
        </a:prstGeom>
        <a:solidFill>
          <a:srgbClr val="002060"/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1F718162-EDF5-4AFC-A464-66B3075656F3}" type="TxLink">
            <a:rPr lang="en-US" sz="20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PERCEP.
UNIT.(S/.)</a:t>
          </a:fld>
          <a:endParaRPr lang="es-PE" sz="20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114086</xdr:colOff>
      <xdr:row>29</xdr:row>
      <xdr:rowOff>232706</xdr:rowOff>
    </xdr:from>
    <xdr:to>
      <xdr:col>8</xdr:col>
      <xdr:colOff>725483</xdr:colOff>
      <xdr:row>32</xdr:row>
      <xdr:rowOff>334277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12106473-F006-64B9-C507-588B368FFB59}"/>
            </a:ext>
          </a:extLst>
        </xdr:cNvPr>
        <xdr:cNvSpPr/>
      </xdr:nvSpPr>
      <xdr:spPr>
        <a:xfrm>
          <a:off x="2631407" y="7471706"/>
          <a:ext cx="2108183" cy="918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Calibri"/>
              <a:cs typeface="Calibri"/>
            </a:rPr>
            <a:t>ADV TOTAL</a:t>
          </a:r>
        </a:p>
        <a:p>
          <a:pPr algn="ctr"/>
          <a:r>
            <a:rPr lang="en-US" sz="20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Calibri"/>
              <a:cs typeface="Calibri"/>
            </a:rPr>
            <a:t>(S/.) ⚠️COSTO</a:t>
          </a:r>
        </a:p>
      </xdr:txBody>
    </xdr:sp>
    <xdr:clientData/>
  </xdr:twoCellAnchor>
  <xdr:twoCellAnchor>
    <xdr:from>
      <xdr:col>9</xdr:col>
      <xdr:colOff>50824</xdr:colOff>
      <xdr:row>29</xdr:row>
      <xdr:rowOff>232347</xdr:rowOff>
    </xdr:from>
    <xdr:to>
      <xdr:col>11</xdr:col>
      <xdr:colOff>68036</xdr:colOff>
      <xdr:row>32</xdr:row>
      <xdr:rowOff>333918</xdr:rowOff>
    </xdr:to>
    <xdr:sp macro="" textlink="'🏦Detallado por Producto'!E20">
      <xdr:nvSpPr>
        <xdr:cNvPr id="14" name="Rectángulo 13">
          <a:extLst>
            <a:ext uri="{FF2B5EF4-FFF2-40B4-BE49-F238E27FC236}">
              <a16:creationId xmlns:a16="http://schemas.microsoft.com/office/drawing/2014/main" id="{671C9FF1-D691-9510-C86D-403CC3E71A74}"/>
            </a:ext>
          </a:extLst>
        </xdr:cNvPr>
        <xdr:cNvSpPr/>
      </xdr:nvSpPr>
      <xdr:spPr>
        <a:xfrm>
          <a:off x="4826931" y="7471347"/>
          <a:ext cx="1935819" cy="918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65000"/>
                  <a:lumOff val="35000"/>
                </a:schemeClr>
              </a:solidFill>
            </a:rPr>
            <a:t>IPM TOTAL</a:t>
          </a:r>
        </a:p>
        <a:p>
          <a:pPr algn="ctr"/>
          <a:r>
            <a:rPr lang="es-PE" sz="2000" b="1">
              <a:solidFill>
                <a:schemeClr val="tx1">
                  <a:lumMod val="65000"/>
                  <a:lumOff val="35000"/>
                </a:schemeClr>
              </a:solidFill>
            </a:rPr>
            <a:t>(S/.) ✅CF</a:t>
          </a:r>
        </a:p>
      </xdr:txBody>
    </xdr:sp>
    <xdr:clientData/>
  </xdr:twoCellAnchor>
  <xdr:twoCellAnchor>
    <xdr:from>
      <xdr:col>11</xdr:col>
      <xdr:colOff>148540</xdr:colOff>
      <xdr:row>29</xdr:row>
      <xdr:rowOff>231320</xdr:rowOff>
    </xdr:from>
    <xdr:to>
      <xdr:col>13</xdr:col>
      <xdr:colOff>247743</xdr:colOff>
      <xdr:row>32</xdr:row>
      <xdr:rowOff>332891</xdr:rowOff>
    </xdr:to>
    <xdr:sp macro="" textlink="'🏦Detallado por Producto'!F20">
      <xdr:nvSpPr>
        <xdr:cNvPr id="15" name="Rectángulo 14">
          <a:extLst>
            <a:ext uri="{FF2B5EF4-FFF2-40B4-BE49-F238E27FC236}">
              <a16:creationId xmlns:a16="http://schemas.microsoft.com/office/drawing/2014/main" id="{2E7DAA23-0F18-A5E8-FC4F-107B74ED808E}"/>
            </a:ext>
          </a:extLst>
        </xdr:cNvPr>
        <xdr:cNvSpPr/>
      </xdr:nvSpPr>
      <xdr:spPr>
        <a:xfrm>
          <a:off x="6843254" y="7470320"/>
          <a:ext cx="2181096" cy="918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65000"/>
                  <a:lumOff val="35000"/>
                </a:schemeClr>
              </a:solidFill>
            </a:rPr>
            <a:t>IGV  TOTAL</a:t>
          </a:r>
        </a:p>
        <a:p>
          <a:pPr algn="ctr"/>
          <a:r>
            <a:rPr lang="es-PE" sz="2000" b="1">
              <a:solidFill>
                <a:schemeClr val="tx1">
                  <a:lumMod val="65000"/>
                  <a:lumOff val="35000"/>
                </a:schemeClr>
              </a:solidFill>
            </a:rPr>
            <a:t>(S/.) ✅CF</a:t>
          </a:r>
        </a:p>
      </xdr:txBody>
    </xdr:sp>
    <xdr:clientData/>
  </xdr:twoCellAnchor>
  <xdr:twoCellAnchor>
    <xdr:from>
      <xdr:col>13</xdr:col>
      <xdr:colOff>327896</xdr:colOff>
      <xdr:row>29</xdr:row>
      <xdr:rowOff>231629</xdr:rowOff>
    </xdr:from>
    <xdr:to>
      <xdr:col>15</xdr:col>
      <xdr:colOff>427100</xdr:colOff>
      <xdr:row>32</xdr:row>
      <xdr:rowOff>333200</xdr:rowOff>
    </xdr:to>
    <xdr:sp macro="" textlink="'🏦Detallado por Producto'!G20">
      <xdr:nvSpPr>
        <xdr:cNvPr id="16" name="Rectángulo 15">
          <a:extLst>
            <a:ext uri="{FF2B5EF4-FFF2-40B4-BE49-F238E27FC236}">
              <a16:creationId xmlns:a16="http://schemas.microsoft.com/office/drawing/2014/main" id="{6B41B856-95F3-D695-AE8F-31A7CB8E83CF}"/>
            </a:ext>
          </a:extLst>
        </xdr:cNvPr>
        <xdr:cNvSpPr/>
      </xdr:nvSpPr>
      <xdr:spPr>
        <a:xfrm>
          <a:off x="9104503" y="7470629"/>
          <a:ext cx="1963383" cy="918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65000"/>
                  <a:lumOff val="35000"/>
                </a:schemeClr>
              </a:solidFill>
            </a:rPr>
            <a:t>PERCEP. TOTAL.</a:t>
          </a:r>
        </a:p>
        <a:p>
          <a:pPr algn="ctr"/>
          <a:r>
            <a:rPr lang="es-PE" sz="2000" b="1">
              <a:solidFill>
                <a:schemeClr val="tx1">
                  <a:lumMod val="65000"/>
                  <a:lumOff val="35000"/>
                </a:schemeClr>
              </a:solidFill>
            </a:rPr>
            <a:t>(S/.) ✅CF</a:t>
          </a:r>
        </a:p>
      </xdr:txBody>
    </xdr:sp>
    <xdr:clientData/>
  </xdr:twoCellAnchor>
  <xdr:twoCellAnchor>
    <xdr:from>
      <xdr:col>15</xdr:col>
      <xdr:colOff>548796</xdr:colOff>
      <xdr:row>29</xdr:row>
      <xdr:rowOff>218382</xdr:rowOff>
    </xdr:from>
    <xdr:to>
      <xdr:col>17</xdr:col>
      <xdr:colOff>530679</xdr:colOff>
      <xdr:row>32</xdr:row>
      <xdr:rowOff>319953</xdr:rowOff>
    </xdr:to>
    <xdr:sp macro="" textlink="'🏦Detallado por Producto'!H20">
      <xdr:nvSpPr>
        <xdr:cNvPr id="17" name="Rectángulo 16">
          <a:extLst>
            <a:ext uri="{FF2B5EF4-FFF2-40B4-BE49-F238E27FC236}">
              <a16:creationId xmlns:a16="http://schemas.microsoft.com/office/drawing/2014/main" id="{9D8C0E15-8D87-EFC2-CFA3-4709097C9F6F}"/>
            </a:ext>
          </a:extLst>
        </xdr:cNvPr>
        <xdr:cNvSpPr/>
      </xdr:nvSpPr>
      <xdr:spPr>
        <a:xfrm>
          <a:off x="11189582" y="7457382"/>
          <a:ext cx="1982133" cy="918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65000"/>
                  <a:lumOff val="35000"/>
                </a:schemeClr>
              </a:solidFill>
            </a:rPr>
            <a:t>DEUDA ADUANERA</a:t>
          </a:r>
        </a:p>
        <a:p>
          <a:pPr algn="ctr"/>
          <a:r>
            <a:rPr lang="es-PE" sz="2000" b="1">
              <a:solidFill>
                <a:schemeClr val="tx1">
                  <a:lumMod val="65000"/>
                  <a:lumOff val="35000"/>
                </a:schemeClr>
              </a:solidFill>
            </a:rPr>
            <a:t>TOTAL USD</a:t>
          </a:r>
        </a:p>
      </xdr:txBody>
    </xdr:sp>
    <xdr:clientData/>
  </xdr:twoCellAnchor>
  <xdr:twoCellAnchor>
    <xdr:from>
      <xdr:col>17</xdr:col>
      <xdr:colOff>631108</xdr:colOff>
      <xdr:row>29</xdr:row>
      <xdr:rowOff>218022</xdr:rowOff>
    </xdr:from>
    <xdr:to>
      <xdr:col>19</xdr:col>
      <xdr:colOff>1451489</xdr:colOff>
      <xdr:row>32</xdr:row>
      <xdr:rowOff>319593</xdr:rowOff>
    </xdr:to>
    <xdr:sp macro="" textlink="'🏦Detallado por Producto'!I20">
      <xdr:nvSpPr>
        <xdr:cNvPr id="18" name="Rectángulo 17">
          <a:extLst>
            <a:ext uri="{FF2B5EF4-FFF2-40B4-BE49-F238E27FC236}">
              <a16:creationId xmlns:a16="http://schemas.microsoft.com/office/drawing/2014/main" id="{9661B61D-6DF5-4AA2-A3BB-21FC3C3882D3}"/>
            </a:ext>
          </a:extLst>
        </xdr:cNvPr>
        <xdr:cNvSpPr/>
      </xdr:nvSpPr>
      <xdr:spPr>
        <a:xfrm>
          <a:off x="13272144" y="7457022"/>
          <a:ext cx="2344381" cy="918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65000"/>
                  <a:lumOff val="35000"/>
                </a:schemeClr>
              </a:solidFill>
            </a:rPr>
            <a:t>MARGEN</a:t>
          </a:r>
        </a:p>
        <a:p>
          <a:pPr algn="ctr"/>
          <a:r>
            <a:rPr lang="es-PE" sz="2000" b="1">
              <a:solidFill>
                <a:schemeClr val="tx1">
                  <a:lumMod val="65000"/>
                  <a:lumOff val="35000"/>
                </a:schemeClr>
              </a:solidFill>
            </a:rPr>
            <a:t>%</a:t>
          </a:r>
        </a:p>
      </xdr:txBody>
    </xdr:sp>
    <xdr:clientData/>
  </xdr:twoCellAnchor>
  <xdr:twoCellAnchor>
    <xdr:from>
      <xdr:col>6</xdr:col>
      <xdr:colOff>70159</xdr:colOff>
      <xdr:row>51</xdr:row>
      <xdr:rowOff>122110</xdr:rowOff>
    </xdr:from>
    <xdr:to>
      <xdr:col>8</xdr:col>
      <xdr:colOff>658091</xdr:colOff>
      <xdr:row>57</xdr:row>
      <xdr:rowOff>34636</xdr:rowOff>
    </xdr:to>
    <xdr:sp macro="" textlink="'🏦Detallado por Producto'!J20">
      <xdr:nvSpPr>
        <xdr:cNvPr id="19" name="Rectángulo 18">
          <a:extLst>
            <a:ext uri="{FF2B5EF4-FFF2-40B4-BE49-F238E27FC236}">
              <a16:creationId xmlns:a16="http://schemas.microsoft.com/office/drawing/2014/main" id="{A2DA0D96-32D6-F7CC-4D03-A621E8062594}"/>
            </a:ext>
          </a:extLst>
        </xdr:cNvPr>
        <xdr:cNvSpPr/>
      </xdr:nvSpPr>
      <xdr:spPr>
        <a:xfrm>
          <a:off x="2598614" y="12175565"/>
          <a:ext cx="2077295" cy="1055526"/>
        </a:xfrm>
        <a:prstGeom prst="rect">
          <a:avLst/>
        </a:prstGeom>
        <a:solidFill>
          <a:srgbClr val="002060"/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bg1"/>
              </a:solidFill>
            </a:rPr>
            <a:t>VALOR VTA.</a:t>
          </a:r>
        </a:p>
        <a:p>
          <a:pPr algn="ctr"/>
          <a:r>
            <a:rPr lang="es-PE" sz="2000" b="1">
              <a:solidFill>
                <a:schemeClr val="bg1"/>
              </a:solidFill>
            </a:rPr>
            <a:t>UNIT.(S/.)</a:t>
          </a:r>
        </a:p>
      </xdr:txBody>
    </xdr:sp>
    <xdr:clientData/>
  </xdr:twoCellAnchor>
  <xdr:twoCellAnchor>
    <xdr:from>
      <xdr:col>8</xdr:col>
      <xdr:colOff>745395</xdr:colOff>
      <xdr:row>51</xdr:row>
      <xdr:rowOff>121750</xdr:rowOff>
    </xdr:from>
    <xdr:to>
      <xdr:col>11</xdr:col>
      <xdr:colOff>103909</xdr:colOff>
      <xdr:row>57</xdr:row>
      <xdr:rowOff>17317</xdr:rowOff>
    </xdr:to>
    <xdr:sp macro="" textlink="'🏦Detallado por Producto'!R59">
      <xdr:nvSpPr>
        <xdr:cNvPr id="20" name="Rectángulo 19">
          <a:extLst>
            <a:ext uri="{FF2B5EF4-FFF2-40B4-BE49-F238E27FC236}">
              <a16:creationId xmlns:a16="http://schemas.microsoft.com/office/drawing/2014/main" id="{6C8A20B0-440C-C87A-4C35-83645CE88110}"/>
            </a:ext>
          </a:extLst>
        </xdr:cNvPr>
        <xdr:cNvSpPr/>
      </xdr:nvSpPr>
      <xdr:spPr>
        <a:xfrm>
          <a:off x="4763213" y="12175205"/>
          <a:ext cx="2042832" cy="1038567"/>
        </a:xfrm>
        <a:prstGeom prst="rect">
          <a:avLst/>
        </a:prstGeom>
        <a:solidFill>
          <a:srgbClr val="002060"/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bg1"/>
              </a:solidFill>
            </a:rPr>
            <a:t>PRECIO VTA.</a:t>
          </a:r>
        </a:p>
        <a:p>
          <a:pPr algn="ctr"/>
          <a:r>
            <a:rPr lang="es-PE" sz="2000" b="1">
              <a:solidFill>
                <a:schemeClr val="bg1"/>
              </a:solidFill>
            </a:rPr>
            <a:t>c/IGV(S/.)</a:t>
          </a:r>
        </a:p>
      </xdr:txBody>
    </xdr:sp>
    <xdr:clientData/>
  </xdr:twoCellAnchor>
  <xdr:twoCellAnchor>
    <xdr:from>
      <xdr:col>11</xdr:col>
      <xdr:colOff>249922</xdr:colOff>
      <xdr:row>51</xdr:row>
      <xdr:rowOff>127506</xdr:rowOff>
    </xdr:from>
    <xdr:to>
      <xdr:col>13</xdr:col>
      <xdr:colOff>185406</xdr:colOff>
      <xdr:row>57</xdr:row>
      <xdr:rowOff>-1</xdr:rowOff>
    </xdr:to>
    <xdr:sp macro="" textlink="'🏦Detallado por Producto'!L20">
      <xdr:nvSpPr>
        <xdr:cNvPr id="21" name="Rectángulo 20">
          <a:extLst>
            <a:ext uri="{FF2B5EF4-FFF2-40B4-BE49-F238E27FC236}">
              <a16:creationId xmlns:a16="http://schemas.microsoft.com/office/drawing/2014/main" id="{A3AC4002-CCCD-E2F0-37B9-97BAE27B341F}"/>
            </a:ext>
          </a:extLst>
        </xdr:cNvPr>
        <xdr:cNvSpPr/>
      </xdr:nvSpPr>
      <xdr:spPr>
        <a:xfrm>
          <a:off x="6952058" y="12180961"/>
          <a:ext cx="2013666" cy="1015493"/>
        </a:xfrm>
        <a:prstGeom prst="rect">
          <a:avLst/>
        </a:prstGeom>
        <a:solidFill>
          <a:srgbClr val="002060"/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bg1"/>
              </a:solidFill>
            </a:rPr>
            <a:t>GANANCIA</a:t>
          </a:r>
        </a:p>
        <a:p>
          <a:pPr algn="ctr"/>
          <a:r>
            <a:rPr lang="es-PE" sz="2000" b="1">
              <a:solidFill>
                <a:schemeClr val="bg1"/>
              </a:solidFill>
            </a:rPr>
            <a:t>UNIT.(S/.)</a:t>
          </a:r>
        </a:p>
      </xdr:txBody>
    </xdr:sp>
    <xdr:clientData/>
  </xdr:twoCellAnchor>
  <xdr:twoCellAnchor>
    <xdr:from>
      <xdr:col>20</xdr:col>
      <xdr:colOff>485777</xdr:colOff>
      <xdr:row>16</xdr:row>
      <xdr:rowOff>57151</xdr:rowOff>
    </xdr:from>
    <xdr:to>
      <xdr:col>27</xdr:col>
      <xdr:colOff>642937</xdr:colOff>
      <xdr:row>64</xdr:row>
      <xdr:rowOff>54429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2B38D9DD-462F-46E3-BC62-C809A3C442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28</xdr:col>
      <xdr:colOff>523879</xdr:colOff>
      <xdr:row>37</xdr:row>
      <xdr:rowOff>-1</xdr:rowOff>
    </xdr:from>
    <xdr:to>
      <xdr:col>40</xdr:col>
      <xdr:colOff>666754</xdr:colOff>
      <xdr:row>64</xdr:row>
      <xdr:rowOff>13607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78856BD6-700A-42CC-86B4-C549F45C9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28</xdr:col>
      <xdr:colOff>547691</xdr:colOff>
      <xdr:row>16</xdr:row>
      <xdr:rowOff>23812</xdr:rowOff>
    </xdr:from>
    <xdr:to>
      <xdr:col>40</xdr:col>
      <xdr:colOff>595316</xdr:colOff>
      <xdr:row>34</xdr:row>
      <xdr:rowOff>119062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ABE6D04B-C5DA-4B82-A3B9-4790A6B21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89648</xdr:colOff>
      <xdr:row>40</xdr:row>
      <xdr:rowOff>40656</xdr:rowOff>
    </xdr:from>
    <xdr:to>
      <xdr:col>8</xdr:col>
      <xdr:colOff>670952</xdr:colOff>
      <xdr:row>45</xdr:row>
      <xdr:rowOff>6156</xdr:rowOff>
    </xdr:to>
    <xdr:sp macro="" textlink="'🏦Detallado por Producto'!M20">
      <xdr:nvSpPr>
        <xdr:cNvPr id="27" name="Rectángulo 26">
          <a:extLst>
            <a:ext uri="{FF2B5EF4-FFF2-40B4-BE49-F238E27FC236}">
              <a16:creationId xmlns:a16="http://schemas.microsoft.com/office/drawing/2014/main" id="{DF683E63-4FD4-4BAD-87CC-5DA6EA178264}"/>
            </a:ext>
          </a:extLst>
        </xdr:cNvPr>
        <xdr:cNvSpPr/>
      </xdr:nvSpPr>
      <xdr:spPr>
        <a:xfrm>
          <a:off x="2622177" y="9980274"/>
          <a:ext cx="2071687" cy="918000"/>
        </a:xfrm>
        <a:prstGeom prst="rect">
          <a:avLst/>
        </a:prstGeom>
        <a:solidFill>
          <a:srgbClr val="002060"/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Costos Unitario</a:t>
          </a:r>
          <a:r>
            <a:rPr lang="es-PE" sz="1600" b="1" baseline="0">
              <a:solidFill>
                <a:schemeClr val="bg1"/>
              </a:solidFill>
            </a:rPr>
            <a:t> (Incluido costos de importación) S/..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106967</xdr:colOff>
      <xdr:row>45</xdr:row>
      <xdr:rowOff>105775</xdr:rowOff>
    </xdr:from>
    <xdr:to>
      <xdr:col>8</xdr:col>
      <xdr:colOff>678466</xdr:colOff>
      <xdr:row>51</xdr:row>
      <xdr:rowOff>34636</xdr:rowOff>
    </xdr:to>
    <xdr:sp macro="" textlink="$H$52">
      <xdr:nvSpPr>
        <xdr:cNvPr id="28" name="Rectángulo 27">
          <a:extLst>
            <a:ext uri="{FF2B5EF4-FFF2-40B4-BE49-F238E27FC236}">
              <a16:creationId xmlns:a16="http://schemas.microsoft.com/office/drawing/2014/main" id="{CA603856-24CB-4FE4-9E73-B423909CAF57}"/>
            </a:ext>
          </a:extLst>
        </xdr:cNvPr>
        <xdr:cNvSpPr/>
      </xdr:nvSpPr>
      <xdr:spPr>
        <a:xfrm>
          <a:off x="2635422" y="10946957"/>
          <a:ext cx="2060862" cy="1141134"/>
        </a:xfrm>
        <a:prstGeom prst="rect">
          <a:avLst/>
        </a:prstGeom>
        <a:solidFill>
          <a:srgbClr val="C55E5B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414BDA9-30EF-4840-B6BD-C244180986A7}" type="TxLink">
            <a:rPr lang="en-US" sz="2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S/ 3.31</a:t>
          </a:fld>
          <a:endParaRPr lang="es-PE" sz="4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358589</xdr:colOff>
      <xdr:row>47</xdr:row>
      <xdr:rowOff>155865</xdr:rowOff>
    </xdr:from>
    <xdr:to>
      <xdr:col>16</xdr:col>
      <xdr:colOff>57711</xdr:colOff>
      <xdr:row>65</xdr:row>
      <xdr:rowOff>21395</xdr:rowOff>
    </xdr:to>
    <xdr:sp macro="" textlink="$O$54">
      <xdr:nvSpPr>
        <xdr:cNvPr id="31" name="Diagrama de flujo: disco magnético 30">
          <a:extLst>
            <a:ext uri="{FF2B5EF4-FFF2-40B4-BE49-F238E27FC236}">
              <a16:creationId xmlns:a16="http://schemas.microsoft.com/office/drawing/2014/main" id="{C1EDDA03-178F-BDF2-2719-4168687C3644}"/>
            </a:ext>
          </a:extLst>
        </xdr:cNvPr>
        <xdr:cNvSpPr/>
      </xdr:nvSpPr>
      <xdr:spPr>
        <a:xfrm>
          <a:off x="9138907" y="11378047"/>
          <a:ext cx="2331486" cy="3571621"/>
        </a:xfrm>
        <a:prstGeom prst="flowChartMagneticDisk">
          <a:avLst/>
        </a:prstGeom>
        <a:solidFill>
          <a:srgbClr val="0099CC"/>
        </a:solidFill>
        <a:ln>
          <a:solidFill>
            <a:schemeClr val="tx1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5EA5858-EEA1-4AE4-A0E5-57BC4B8711F8}" type="TxLink">
            <a:rPr lang="en-US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S/ 2,080.58</a:t>
          </a:fld>
          <a:endParaRPr lang="es-PE" sz="8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336175</xdr:colOff>
      <xdr:row>41</xdr:row>
      <xdr:rowOff>1120</xdr:rowOff>
    </xdr:from>
    <xdr:to>
      <xdr:col>19</xdr:col>
      <xdr:colOff>1423145</xdr:colOff>
      <xdr:row>64</xdr:row>
      <xdr:rowOff>207818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E59E8484-23B9-795A-F3D3-5B79FE3F6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13</xdr:col>
      <xdr:colOff>438788</xdr:colOff>
      <xdr:row>40</xdr:row>
      <xdr:rowOff>51954</xdr:rowOff>
    </xdr:from>
    <xdr:to>
      <xdr:col>15</xdr:col>
      <xdr:colOff>575168</xdr:colOff>
      <xdr:row>46</xdr:row>
      <xdr:rowOff>99427</xdr:rowOff>
    </xdr:to>
    <xdr:sp macro="" textlink="'🏦Detallado por Producto'!N20">
      <xdr:nvSpPr>
        <xdr:cNvPr id="35" name="Rectángulo 34">
          <a:extLst>
            <a:ext uri="{FF2B5EF4-FFF2-40B4-BE49-F238E27FC236}">
              <a16:creationId xmlns:a16="http://schemas.microsoft.com/office/drawing/2014/main" id="{4917C1E2-5CAC-4A0B-BC71-26A286D6D296}"/>
            </a:ext>
          </a:extLst>
        </xdr:cNvPr>
        <xdr:cNvSpPr/>
      </xdr:nvSpPr>
      <xdr:spPr>
        <a:xfrm>
          <a:off x="9219106" y="9940636"/>
          <a:ext cx="2006744" cy="1190473"/>
        </a:xfrm>
        <a:prstGeom prst="rect">
          <a:avLst/>
        </a:prstGeom>
        <a:solidFill>
          <a:srgbClr val="002060"/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bg1"/>
              </a:solidFill>
            </a:rPr>
            <a:t>CRÉDITO</a:t>
          </a:r>
          <a:r>
            <a:rPr lang="es-PE" sz="2000" b="1" baseline="0">
              <a:solidFill>
                <a:schemeClr val="bg1"/>
              </a:solidFill>
            </a:rPr>
            <a:t> FISCAL</a:t>
          </a:r>
          <a:endParaRPr lang="es-PE" sz="2000" b="1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ibliotecas\Descargas\calculadora_DETALLE_x_PRODUCTO.xlsx" TargetMode="External"/><Relationship Id="rId1" Type="http://schemas.openxmlformats.org/officeDocument/2006/relationships/externalLinkPath" Target="file:///D:\Bibliotecas\Descargas\calculadora_DETALLE_x_PRODUC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🏠 PORTADA"/>
      <sheetName val="📖 Instrucciones"/>
      <sheetName val="📋 Datos Generales"/>
      <sheetName val="🧾 Factura Comercial"/>
      <sheetName val="📦 Gastos Importación"/>
      <sheetName val="🧾 Tributos Aduana"/>
      <sheetName val="🧮 Costos x Producto"/>
      <sheetName val="💰 Precio de Venta"/>
      <sheetName val="🏦 Crédito Fiscal"/>
      <sheetName val="📊 Dashboard"/>
      <sheetName val="🔍 Detalle x Producto"/>
    </sheetNames>
    <sheetDataSet>
      <sheetData sheetId="0"/>
      <sheetData sheetId="1"/>
      <sheetData sheetId="2">
        <row r="19">
          <cell r="C19">
            <v>3.72</v>
          </cell>
        </row>
      </sheetData>
      <sheetData sheetId="3">
        <row r="4">
          <cell r="C4" t="str">
            <v>Friction Car Platform Cover</v>
          </cell>
          <cell r="D4" t="str">
            <v>Unid.</v>
          </cell>
          <cell r="E4">
            <v>480</v>
          </cell>
          <cell r="F4">
            <v>1.21</v>
          </cell>
          <cell r="G4">
            <v>580.79999999999995</v>
          </cell>
        </row>
        <row r="5">
          <cell r="C5" t="str">
            <v>Friction Cars OPP Bag 23cm</v>
          </cell>
          <cell r="D5" t="str">
            <v>Unid.</v>
          </cell>
          <cell r="E5">
            <v>2880</v>
          </cell>
          <cell r="F5">
            <v>0.68</v>
          </cell>
          <cell r="G5">
            <v>1958.4</v>
          </cell>
        </row>
        <row r="6">
          <cell r="C6" t="str">
            <v>Free Wheel Motor OPP Bag 21cm</v>
          </cell>
          <cell r="D6" t="str">
            <v>Unid.</v>
          </cell>
          <cell r="E6">
            <v>2880</v>
          </cell>
          <cell r="F6">
            <v>0.4</v>
          </cell>
          <cell r="G6">
            <v>1152</v>
          </cell>
        </row>
        <row r="7">
          <cell r="C7" t="str">
            <v>Friction Cars OPP Bag 22cm</v>
          </cell>
          <cell r="D7" t="str">
            <v>Unid.</v>
          </cell>
          <cell r="E7">
            <v>10224</v>
          </cell>
          <cell r="F7">
            <v>0.34</v>
          </cell>
          <cell r="G7">
            <v>3476.16</v>
          </cell>
        </row>
        <row r="8">
          <cell r="C8" t="str">
            <v>Pull Line Friction Car OPP Bag</v>
          </cell>
          <cell r="D8" t="str">
            <v>Unid.</v>
          </cell>
          <cell r="E8">
            <v>8640</v>
          </cell>
          <cell r="F8">
            <v>0.26</v>
          </cell>
          <cell r="G8">
            <v>2246.4</v>
          </cell>
        </row>
        <row r="9">
          <cell r="C9" t="str">
            <v>Friction Car OPP Bag</v>
          </cell>
          <cell r="D9" t="str">
            <v>Unid.</v>
          </cell>
          <cell r="E9">
            <v>2160</v>
          </cell>
          <cell r="F9">
            <v>0.28999999999999998</v>
          </cell>
          <cell r="G9">
            <v>626.4</v>
          </cell>
        </row>
        <row r="10">
          <cell r="C10" t="str">
            <v>Free Wheel Ride on Digger Handle</v>
          </cell>
          <cell r="D10" t="str">
            <v>Unid.</v>
          </cell>
          <cell r="E10">
            <v>240</v>
          </cell>
          <cell r="F10">
            <v>5.71</v>
          </cell>
          <cell r="G10">
            <v>1370.4</v>
          </cell>
        </row>
        <row r="11">
          <cell r="C11" t="str">
            <v>Friction Car with Music and Light</v>
          </cell>
          <cell r="D11" t="str">
            <v>Unid.</v>
          </cell>
          <cell r="E11">
            <v>1920</v>
          </cell>
          <cell r="F11">
            <v>0.76</v>
          </cell>
          <cell r="G11">
            <v>1459.2</v>
          </cell>
        </row>
        <row r="12">
          <cell r="C12" t="str">
            <v>Pull Line Function Car OPP Bag</v>
          </cell>
          <cell r="D12" t="str">
            <v>Unid.</v>
          </cell>
          <cell r="E12">
            <v>4800</v>
          </cell>
          <cell r="F12">
            <v>0.28000000000000003</v>
          </cell>
          <cell r="G12">
            <v>1344</v>
          </cell>
        </row>
      </sheetData>
      <sheetData sheetId="4">
        <row r="27">
          <cell r="C27">
            <v>16127.2421052632</v>
          </cell>
        </row>
      </sheetData>
      <sheetData sheetId="5">
        <row r="5">
          <cell r="C5">
            <v>14213.76</v>
          </cell>
        </row>
        <row r="13">
          <cell r="C13">
            <v>14687.5582105263</v>
          </cell>
        </row>
        <row r="16">
          <cell r="C16">
            <v>881</v>
          </cell>
        </row>
        <row r="17">
          <cell r="C17">
            <v>311</v>
          </cell>
        </row>
        <row r="18">
          <cell r="C18">
            <v>2491</v>
          </cell>
        </row>
        <row r="19">
          <cell r="C19">
            <v>3683</v>
          </cell>
        </row>
        <row r="22">
          <cell r="C22">
            <v>642.97</v>
          </cell>
        </row>
      </sheetData>
      <sheetData sheetId="6">
        <row r="3">
          <cell r="D3"/>
          <cell r="F3"/>
        </row>
        <row r="4">
          <cell r="D4"/>
        </row>
        <row r="6">
          <cell r="F6">
            <v>580.79999999999995</v>
          </cell>
          <cell r="H6">
            <v>2.6982247049412198</v>
          </cell>
          <cell r="I6">
            <v>10.0373959023813</v>
          </cell>
        </row>
        <row r="7">
          <cell r="F7">
            <v>1958.4</v>
          </cell>
          <cell r="H7">
            <v>1.5163576854215099</v>
          </cell>
          <cell r="I7">
            <v>5.6408505897680197</v>
          </cell>
        </row>
        <row r="8">
          <cell r="F8">
            <v>1152</v>
          </cell>
          <cell r="H8">
            <v>0.89197510907147604</v>
          </cell>
          <cell r="I8">
            <v>3.31814740574589</v>
          </cell>
        </row>
        <row r="9">
          <cell r="F9">
            <v>3476.16</v>
          </cell>
          <cell r="H9">
            <v>0.75817884271075497</v>
          </cell>
          <cell r="I9">
            <v>2.8204252948840098</v>
          </cell>
        </row>
        <row r="10">
          <cell r="F10">
            <v>2246.4</v>
          </cell>
          <cell r="H10">
            <v>0.57978382089645997</v>
          </cell>
          <cell r="I10">
            <v>2.15679581373483</v>
          </cell>
        </row>
        <row r="11">
          <cell r="F11">
            <v>626.4</v>
          </cell>
          <cell r="H11">
            <v>0.64668195407682005</v>
          </cell>
          <cell r="I11">
            <v>2.40565686916577</v>
          </cell>
        </row>
        <row r="12">
          <cell r="F12">
            <v>1370.4</v>
          </cell>
          <cell r="H12">
            <v>12.732944681995299</v>
          </cell>
          <cell r="I12">
            <v>47.366554217022603</v>
          </cell>
        </row>
        <row r="13">
          <cell r="F13">
            <v>1459.2</v>
          </cell>
          <cell r="H13">
            <v>1.69475270723581</v>
          </cell>
          <cell r="I13">
            <v>6.3044800709172</v>
          </cell>
        </row>
        <row r="14">
          <cell r="F14">
            <v>1344</v>
          </cell>
          <cell r="H14">
            <v>0.62438257635003402</v>
          </cell>
          <cell r="I14">
            <v>2.3227031840221302</v>
          </cell>
        </row>
      </sheetData>
      <sheetData sheetId="7">
        <row r="5">
          <cell r="E5">
            <v>0.4</v>
          </cell>
          <cell r="F5">
            <v>16.728993170635501</v>
          </cell>
          <cell r="G5">
            <v>19.740211941349902</v>
          </cell>
          <cell r="H5">
            <v>6.6915972682542204</v>
          </cell>
          <cell r="I5">
            <v>66</v>
          </cell>
        </row>
        <row r="6">
          <cell r="E6">
            <v>0.4</v>
          </cell>
          <cell r="F6">
            <v>9.4014176496133608</v>
          </cell>
          <cell r="G6">
            <v>11.0936728265438</v>
          </cell>
          <cell r="H6">
            <v>3.76056705984535</v>
          </cell>
          <cell r="I6">
            <v>394</v>
          </cell>
        </row>
        <row r="7">
          <cell r="E7">
            <v>0.4</v>
          </cell>
          <cell r="F7">
            <v>5.5302456762431502</v>
          </cell>
          <cell r="G7">
            <v>6.5256898979669202</v>
          </cell>
          <cell r="H7">
            <v>2.2120982704972598</v>
          </cell>
          <cell r="I7">
            <v>394</v>
          </cell>
        </row>
        <row r="8">
          <cell r="E8">
            <v>0.4</v>
          </cell>
          <cell r="F8">
            <v>4.7007088248066804</v>
          </cell>
          <cell r="G8">
            <v>5.5468364132718797</v>
          </cell>
          <cell r="H8">
            <v>1.8802835299226699</v>
          </cell>
          <cell r="I8">
            <v>1398</v>
          </cell>
        </row>
        <row r="9">
          <cell r="E9">
            <v>0.4</v>
          </cell>
          <cell r="F9">
            <v>3.5946596895580498</v>
          </cell>
          <cell r="G9">
            <v>4.2416984336784997</v>
          </cell>
          <cell r="H9">
            <v>1.4378638758232201</v>
          </cell>
          <cell r="I9">
            <v>1181</v>
          </cell>
        </row>
        <row r="10">
          <cell r="E10">
            <v>0.4</v>
          </cell>
          <cell r="F10">
            <v>4.0094281152762896</v>
          </cell>
          <cell r="G10">
            <v>4.73112517602602</v>
          </cell>
          <cell r="H10">
            <v>1.60377124611051</v>
          </cell>
          <cell r="I10">
            <v>296</v>
          </cell>
        </row>
        <row r="11">
          <cell r="E11">
            <v>0.4</v>
          </cell>
          <cell r="F11">
            <v>78.944257028370998</v>
          </cell>
          <cell r="G11">
            <v>93.154223293477799</v>
          </cell>
          <cell r="H11">
            <v>31.577702811348399</v>
          </cell>
          <cell r="I11">
            <v>33</v>
          </cell>
        </row>
        <row r="12">
          <cell r="E12">
            <v>0.4</v>
          </cell>
          <cell r="F12">
            <v>10.507466784862</v>
          </cell>
          <cell r="G12">
            <v>12.398810806137201</v>
          </cell>
          <cell r="H12">
            <v>4.2029867139448003</v>
          </cell>
          <cell r="I12">
            <v>263</v>
          </cell>
        </row>
        <row r="13">
          <cell r="E13">
            <v>0.4</v>
          </cell>
          <cell r="F13">
            <v>3.8711719733702101</v>
          </cell>
          <cell r="G13">
            <v>4.5679829285768498</v>
          </cell>
          <cell r="H13">
            <v>1.54846878934808</v>
          </cell>
          <cell r="I13">
            <v>657</v>
          </cell>
        </row>
      </sheetData>
      <sheetData sheetId="8">
        <row r="10">
          <cell r="C10">
            <v>6341.0972926315799</v>
          </cell>
        </row>
        <row r="11">
          <cell r="C11">
            <v>23588.881928589501</v>
          </cell>
        </row>
      </sheetData>
      <sheetData sheetId="9"/>
      <sheetData sheetId="10">
        <row r="200">
          <cell r="C200" t="str">
            <v>Ganancia Total S/.</v>
          </cell>
          <cell r="D200" t="str">
            <v>C/M Unit S/.</v>
          </cell>
          <cell r="E200" t="str">
            <v>PV Unit S/.</v>
          </cell>
        </row>
        <row r="201">
          <cell r="B201" t="str">
            <v>Friction Car Platform Cover</v>
          </cell>
          <cell r="C201">
            <v>3211.9666887620201</v>
          </cell>
          <cell r="D201">
            <v>10.0373959023813</v>
          </cell>
          <cell r="E201">
            <v>19.740211941349902</v>
          </cell>
        </row>
        <row r="202">
          <cell r="B202" t="str">
            <v>Friction Cars OPP Bag 23cm</v>
          </cell>
          <cell r="C202">
            <v>10830.433132354599</v>
          </cell>
          <cell r="D202">
            <v>5.6408505897680197</v>
          </cell>
          <cell r="E202">
            <v>11.0936728265438</v>
          </cell>
        </row>
        <row r="203">
          <cell r="B203" t="str">
            <v>Free Wheel Motor OPP Bag 21cm</v>
          </cell>
          <cell r="C203">
            <v>6370.8430190321096</v>
          </cell>
          <cell r="D203">
            <v>3.31814740574589</v>
          </cell>
          <cell r="E203">
            <v>6.5256898979669202</v>
          </cell>
        </row>
        <row r="204">
          <cell r="B204" t="str">
            <v>Friction Cars OPP Bag 22cm</v>
          </cell>
          <cell r="C204">
            <v>19224.018809929399</v>
          </cell>
          <cell r="D204">
            <v>2.8204252948840098</v>
          </cell>
          <cell r="E204">
            <v>5.5468364132718797</v>
          </cell>
        </row>
        <row r="205">
          <cell r="B205" t="str">
            <v>Pull Line Friction Car OPP Bag</v>
          </cell>
          <cell r="C205">
            <v>12423.143887112599</v>
          </cell>
          <cell r="D205">
            <v>2.15679581373483</v>
          </cell>
          <cell r="E205">
            <v>4.2416984336784997</v>
          </cell>
        </row>
        <row r="206">
          <cell r="B206" t="str">
            <v>Friction Car OPP Bag</v>
          </cell>
          <cell r="C206">
            <v>3464.14589159871</v>
          </cell>
          <cell r="D206">
            <v>2.40565686916577</v>
          </cell>
          <cell r="E206">
            <v>4.73112517602602</v>
          </cell>
        </row>
        <row r="207">
          <cell r="B207" t="str">
            <v>Free Wheel Ride on Digger Handle</v>
          </cell>
          <cell r="C207">
            <v>7578.6486747236204</v>
          </cell>
          <cell r="D207">
            <v>47.366554217022603</v>
          </cell>
          <cell r="E207">
            <v>93.154223293477799</v>
          </cell>
        </row>
        <row r="208">
          <cell r="B208" t="str">
            <v>Friction Car with Music and Light</v>
          </cell>
          <cell r="C208">
            <v>8069.7344907740098</v>
          </cell>
          <cell r="D208">
            <v>6.3044800709172</v>
          </cell>
          <cell r="E208">
            <v>12.398810806137201</v>
          </cell>
        </row>
        <row r="209">
          <cell r="B209" t="str">
            <v>Pull Line Function Car OPP Bag</v>
          </cell>
          <cell r="C209">
            <v>7432.6501888707999</v>
          </cell>
          <cell r="D209">
            <v>2.3227031840221302</v>
          </cell>
          <cell r="E209">
            <v>4.5679829285768498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D621DC-7D55-48A2-88EB-348575807B7E}" name="TABLA_BASE" displayName="TABLA_BASE" ref="A2:AW90" totalsRowCount="1" headerRowDxfId="96" dataDxfId="94" totalsRowDxfId="92" headerRowBorderDxfId="95" tableBorderDxfId="93">
  <autoFilter ref="A2:AW89" xr:uid="{0DD621DC-7D55-48A2-88EB-348575807B7E}"/>
  <tableColumns count="49">
    <tableColumn id="1" xr3:uid="{BFCCEBB0-4DAC-4EC0-89A0-A6AF0F093708}" name="DESCRIPCIÓN DEL PRODUCTO" dataDxfId="91" totalsRowDxfId="90">
      <calculatedColumnFormula>'🧾 Factura Comercial'!E5</calculatedColumnFormula>
    </tableColumn>
    <tableColumn id="2" xr3:uid="{DAF9AC45-974A-4902-A934-8768A3835921}" name="UNIDAD" dataDxfId="89" totalsRowDxfId="88">
      <calculatedColumnFormula>'🧾 Factura Comercial'!F5</calculatedColumnFormula>
    </tableColumn>
    <tableColumn id="3" xr3:uid="{12DCC8B7-C826-410F-BFC0-5AD54A09A915}" name="CANTIDAD_x000a_(unid.)" totalsRowFunction="custom" dataDxfId="87" totalsRowDxfId="86" dataCellStyle="Millares">
      <calculatedColumnFormula>'🧾 Factura Comercial'!G5</calculatedColumnFormula>
      <totalsRowFormula>SUM(TABLA_BASE[CANTIDAD
(unid.)])</totalsRowFormula>
    </tableColumn>
    <tableColumn id="4" xr3:uid="{1E02DFDF-F0C2-4B5F-B2B9-DBE797232326}" name="FOB UNIT. _x000a_(US$)" totalsRowFunction="custom" dataDxfId="85" totalsRowDxfId="84">
      <calculatedColumnFormula>'🧾 Factura Comercial'!H5</calculatedColumnFormula>
      <totalsRowFormula>SUM(TABLA_BASE[FOB UNIT. 
(US$)])</totalsRowFormula>
    </tableColumn>
    <tableColumn id="5" xr3:uid="{350336EE-3E23-4C3C-AEC8-31B90365D43C}" name="FOB TOTAL_x000a_(US$)" totalsRowFunction="custom" dataDxfId="83" totalsRowDxfId="82">
      <calculatedColumnFormula>'🧾 Factura Comercial'!I5</calculatedColumnFormula>
      <totalsRowFormula>SUM(TABLA_BASE[FOB TOTAL
(US$)])</totalsRowFormula>
    </tableColumn>
    <tableColumn id="6" xr3:uid="{34918AB4-1633-4E47-B012-9DD84AD808F3}" name="% PART._x000a_FOB" dataDxfId="81" dataCellStyle="Porcentaje">
      <calculatedColumnFormula>IF('🧾 Tributos Aduana'!$F$6=0,0,'🧾 Factura Comercial'!I5/'🧾 Tributos Aduana'!$F$6)</calculatedColumnFormula>
    </tableColumn>
    <tableColumn id="7" xr3:uid="{6088681D-8919-441E-A69D-1DAAAE1AD6C8}" name="FOB UNIT._x000a_(S/.)" totalsRowFunction="custom" dataDxfId="80" totalsRowDxfId="79">
      <calculatedColumnFormula>'🧾 Factura Comercial'!H5*'📋 Datos Generales'!$E$19</calculatedColumnFormula>
      <totalsRowFormula>SUM(TABLA_BASE[FOB UNIT.
(S/.)])</totalsRowFormula>
    </tableColumn>
    <tableColumn id="8" xr3:uid="{F82779B7-3897-4434-AD09-6DD3B9E9FCBD}" name="FOB TOTAL_x000a_(S/.)" totalsRowFunction="custom" dataDxfId="78" totalsRowDxfId="77">
      <calculatedColumnFormula>TABLA_BASE[[#This Row],[FOB UNIT.
(S/.)]]*TABLA_BASE[[#This Row],[CANTIDAD
(unid.)]]</calculatedColumnFormula>
      <totalsRowFormula>SUM(TABLA_BASE[FOB TOTAL
(S/.)])</totalsRowFormula>
    </tableColumn>
    <tableColumn id="10" xr3:uid="{06987040-7E11-47CE-A764-899C145149A8}" name="ADV UNIT._x000a_(US$)_x000a_⚠️COSTO" totalsRowFunction="custom" dataDxfId="76" totalsRowDxfId="75">
      <calculatedColumnFormula>IF('🧾 Tributos Aduana'!$F$6=0,0,'🧾 Tributos Aduana'!$F$17*('🧾 Factura Comercial'!H5/'🧾 Tributos Aduana'!$F$6))</calculatedColumnFormula>
      <totalsRowFormula>SUM(TABLA_BASE[ADV UNIT.
(US$)
⚠️COSTO])</totalsRowFormula>
    </tableColumn>
    <tableColumn id="37" xr3:uid="{CE9CF4FB-6D6E-4AB4-B859-B7BDBAAA3AFD}" name="ADV TOTAL_x000a_(US$)_x000a_⚠️COSTO" totalsRowFunction="custom" dataDxfId="74" totalsRowDxfId="73">
      <calculatedColumnFormula>TABLA_BASE[[#This Row],[ADV UNIT.
(US$)
⚠️COSTO]]*TABLA_BASE[[#This Row],[CANTIDAD
(unid.)]]</calculatedColumnFormula>
      <totalsRowFormula>SUM(TABLA_BASE[ADV TOTAL
(US$)
⚠️COSTO])</totalsRowFormula>
    </tableColumn>
    <tableColumn id="11" xr3:uid="{B59B636E-75B7-433E-8A7C-C4ED03E63EED}" name="IPM UNIT._x000a_(US$)_x000a_✅CF" totalsRowFunction="custom" dataDxfId="72" totalsRowDxfId="71">
      <calculatedColumnFormula>IF('🧾 Tributos Aduana'!$F$6=0,0,'🧾 Tributos Aduana'!$F$18*('🧾 Factura Comercial'!H5/'🧾 Tributos Aduana'!$F$6))</calculatedColumnFormula>
      <totalsRowFormula>SUM(TABLA_BASE[IPM UNIT.
(US$)
✅CF])</totalsRowFormula>
    </tableColumn>
    <tableColumn id="38" xr3:uid="{1A5B0FBE-5D25-43A7-B6A6-9736FAD8BAC7}" name="IPM TOTAL_x000a_(US$)_x000a_✅CF" totalsRowFunction="custom" dataDxfId="70" totalsRowDxfId="69">
      <calculatedColumnFormula>TABLA_BASE[[#This Row],[IPM UNIT.
(US$)
✅CF]]*TABLA_BASE[[#This Row],[CANTIDAD
(unid.)]]</calculatedColumnFormula>
      <totalsRowFormula>SUM(TABLA_BASE[IPM TOTAL
(US$)
✅CF])</totalsRowFormula>
    </tableColumn>
    <tableColumn id="12" xr3:uid="{6DC09206-F3D2-4139-822E-E7120F0E3679}" name="IGV UNIT._x000a_(US$)_x000a_✅CF" totalsRowFunction="custom" dataDxfId="68" totalsRowDxfId="67">
      <calculatedColumnFormula>IF('🧾 Tributos Aduana'!$F$6=0,0,'🧾 Tributos Aduana'!$F$19*('🧾 Factura Comercial'!H5/'🧾 Tributos Aduana'!$F$6))</calculatedColumnFormula>
      <totalsRowFormula>SUM(TABLA_BASE[IGV UNIT.
(US$)
✅CF])</totalsRowFormula>
    </tableColumn>
    <tableColumn id="39" xr3:uid="{EB5DFB67-E67E-40E9-ACA4-4CB934759A66}" name="IGV  TOTAL_x000a_(US$)_x000a_✅CF" totalsRowFunction="custom" dataDxfId="66" totalsRowDxfId="65">
      <calculatedColumnFormula>TABLA_BASE[[#This Row],[IGV UNIT.
(US$)
✅CF]]*TABLA_BASE[[#This Row],[CANTIDAD
(unid.)]]</calculatedColumnFormula>
      <totalsRowFormula>SUM(TABLA_BASE[IGV  TOTAL
(US$)
✅CF])</totalsRowFormula>
    </tableColumn>
    <tableColumn id="13" xr3:uid="{90887FA9-3968-4637-9C18-A8DE61B4402F}" name="PERCEP._x000a_UNIT.(US$)_x000a_✅CF" totalsRowFunction="custom" dataDxfId="64" totalsRowDxfId="63">
      <calculatedColumnFormula>IF('🧾 Tributos Aduana'!$F$6=0,0,'🧾 Tributos Aduana'!$F$23*('🧾 Factura Comercial'!H5/'🧾 Tributos Aduana'!$F$6))</calculatedColumnFormula>
      <totalsRowFormula>SUM(TABLA_BASE[PERCEP.
UNIT.(US$)
✅CF])</totalsRowFormula>
    </tableColumn>
    <tableColumn id="40" xr3:uid="{1FCA52FD-5B75-4C94-A77C-D45E2EF1B5FE}" name="PERCEP._x000a_TOTAL.(US$)_x000a_✅CF" totalsRowFunction="custom" dataDxfId="62" totalsRowDxfId="61">
      <calculatedColumnFormula>TABLA_BASE[[#This Row],[PERCEP.
UNIT.(US$)
✅CF]]*TABLA_BASE[[#This Row],[CANTIDAD
(unid.)]]</calculatedColumnFormula>
      <totalsRowFormula>SUM(TABLA_BASE[PERCEP.
TOTAL.(US$)
✅CF])</totalsRowFormula>
    </tableColumn>
    <tableColumn id="14" xr3:uid="{5EEEDE26-527E-4939-ACE6-07DE83404289}" name="DEUDA_x000a_ADUANERA_x000a_UNIT." totalsRowFunction="custom" dataDxfId="60" totalsRowDxfId="59">
      <calculatedColumnFormula>TABLA_BASE[[#This Row],[ADV UNIT.
(US$)
⚠️COSTO]]+TABLA_BASE[[#This Row],[IPM UNIT.
(US$)
✅CF]]+TABLA_BASE[[#This Row],[IGV UNIT.
(US$)
✅CF]]</calculatedColumnFormula>
      <totalsRowFormula>SUM(TABLA_BASE[DEUDA
ADUANERA
UNIT.])</totalsRowFormula>
    </tableColumn>
    <tableColumn id="41" xr3:uid="{823A970B-CBC0-49BE-B963-D49AA8ABC240}" name="DEUDA_x000a_ADUANERA_x000a_TOTAL" totalsRowFunction="custom" dataDxfId="58" totalsRowDxfId="57">
      <calculatedColumnFormula>TABLA_BASE[[#This Row],[DEUDA
ADUANERA
UNIT.]]*TABLA_BASE[[#This Row],[CANTIDAD
(unid.)]]</calculatedColumnFormula>
      <totalsRowFormula>SUM(TABLA_BASE[DEUDA
ADUANERA
TOTAL])</totalsRowFormula>
    </tableColumn>
    <tableColumn id="15" xr3:uid="{94012032-DC8F-4C08-86FD-9CF341620805}" name="ADV UNIT._x000a_(S/.)" totalsRowFunction="custom" dataDxfId="56" totalsRowDxfId="55">
      <calculatedColumnFormula>TABLA_BASE[[#This Row],[ADV UNIT.
(US$)
⚠️COSTO]]*'📋 Datos Generales'!$E$19</calculatedColumnFormula>
      <totalsRowFormula>SUM(TABLA_BASE[ADV UNIT.
(S/.)])</totalsRowFormula>
    </tableColumn>
    <tableColumn id="42" xr3:uid="{EDA78211-D92B-4FFB-892E-3CC6349D3EBB}" name="ADV  TOTAL._x000a_(S/.)" totalsRowFunction="custom" dataDxfId="54" totalsRowDxfId="53">
      <calculatedColumnFormula>TABLA_BASE[[#This Row],[ADV UNIT.
(S/.)]]*TABLA_BASE[[#This Row],[CANTIDAD
(unid.)]]</calculatedColumnFormula>
      <totalsRowFormula>SUM(TABLA_BASE[ADV  TOTAL.
(S/.)])</totalsRowFormula>
    </tableColumn>
    <tableColumn id="16" xr3:uid="{EBB1F528-D93F-44DA-AA49-47CEBCD4C18A}" name="IPM UNIT._x000a_(S/.)" totalsRowFunction="custom" dataDxfId="52" totalsRowDxfId="51">
      <calculatedColumnFormula>TABLA_BASE[[#This Row],[IPM UNIT.
(US$)
✅CF]]*'📋 Datos Generales'!$E$19</calculatedColumnFormula>
      <totalsRowFormula>SUM(TABLA_BASE[IPM UNIT.
(S/.)])</totalsRowFormula>
    </tableColumn>
    <tableColumn id="43" xr3:uid="{60F6F82D-4707-4626-98A2-35900A38B0D9}" name="IPM TOTAL_x000a_(S/.)2" totalsRowFunction="custom" dataDxfId="50" totalsRowDxfId="49">
      <calculatedColumnFormula>TABLA_BASE[[#This Row],[IPM UNIT.
(S/.)]]*TABLA_BASE[[#This Row],[CANTIDAD
(unid.)]]</calculatedColumnFormula>
      <totalsRowFormula>SUM(TABLA_BASE[IPM TOTAL
(S/.)2])</totalsRowFormula>
    </tableColumn>
    <tableColumn id="17" xr3:uid="{6E358EB0-7FD6-4C82-B99C-6D68E04CCC0E}" name="IGV UNIT._x000a_(S/.)" totalsRowFunction="custom" dataDxfId="48" totalsRowDxfId="47">
      <calculatedColumnFormula>TABLA_BASE[[#This Row],[IGV UNIT.
(US$)
✅CF]]*'📋 Datos Generales'!$E$19</calculatedColumnFormula>
      <totalsRowFormula>SUM(TABLA_BASE[IGV UNIT.
(S/.)])</totalsRowFormula>
    </tableColumn>
    <tableColumn id="44" xr3:uid="{180755A8-A394-4960-9BD1-2AD153C13194}" name="IGV TOTAL_x000a_(S/.)2" totalsRowFunction="custom" dataDxfId="46" totalsRowDxfId="45">
      <calculatedColumnFormula>TABLA_BASE[[#This Row],[IGV UNIT.
(S/.)]]*TABLA_BASE[[#This Row],[CANTIDAD
(unid.)]]</calculatedColumnFormula>
      <totalsRowFormula>SUM(TABLA_BASE[IGV TOTAL
(S/.)2])</totalsRowFormula>
    </tableColumn>
    <tableColumn id="18" xr3:uid="{F8CBC963-ED93-414D-9D8D-C96928D51DDC}" name="PERCEP._x000a_UNIT.(S/.)" totalsRowFunction="custom" dataDxfId="44" totalsRowDxfId="43">
      <calculatedColumnFormula>TABLA_BASE[[#This Row],[PERCEP.
UNIT.(US$)
✅CF]]*'📋 Datos Generales'!$E$19</calculatedColumnFormula>
      <totalsRowFormula>SUM(TABLA_BASE[PERCEP.
UNIT.(S/.)])</totalsRowFormula>
    </tableColumn>
    <tableColumn id="45" xr3:uid="{2626EC3A-3675-42DE-AECC-99CAE0CAC316}" name="PERCEP._x000a_TOTAL.(S/.)2" totalsRowFunction="custom" dataDxfId="42" totalsRowDxfId="41">
      <calculatedColumnFormula>TABLA_BASE[[#This Row],[PERCEP.
UNIT.(S/.)]]*TABLA_BASE[[#This Row],[CANTIDAD
(unid.)]]</calculatedColumnFormula>
      <totalsRowFormula>SUM(TABLA_BASE[PERCEP.
TOTAL.(S/.)2])</totalsRowFormula>
    </tableColumn>
    <tableColumn id="19" xr3:uid="{A43972B9-D373-4EA0-9218-62F2EB8AB6AC}" name="TOTAL PAGO_x000a_SUNAT_x000a_UNIT.(US$)" totalsRowFunction="custom" dataDxfId="40" totalsRowDxfId="39">
      <calculatedColumnFormula>TABLA_BASE[[#This Row],[ADV UNIT.
(US$)
⚠️COSTO]]+TABLA_BASE[[#This Row],[IPM UNIT.
(US$)
✅CF]]+TABLA_BASE[[#This Row],[IGV UNIT.
(US$)
✅CF]]+TABLA_BASE[[#This Row],[PERCEP.
UNIT.(US$)
✅CF]]</calculatedColumnFormula>
      <totalsRowFormula>SUM(TABLA_BASE[TOTAL PAGO
SUNAT
UNIT.(US$)])</totalsRowFormula>
    </tableColumn>
    <tableColumn id="46" xr3:uid="{0621D69C-4710-4654-A54E-926D98D8FD5A}" name="TOTAL PAGO_x000a_SUNAT_x000a_TOTAL(US$)" totalsRowFunction="custom" dataDxfId="38" totalsRowDxfId="37">
      <calculatedColumnFormula>TABLA_BASE[[#This Row],[TOTAL PAGO
SUNAT
UNIT.(US$)]]*TABLA_BASE[[#This Row],[CANTIDAD
(unid.)]]</calculatedColumnFormula>
      <totalsRowFormula>SUM(TABLA_BASE[TOTAL PAGO
SUNAT
TOTAL(US$)])</totalsRowFormula>
    </tableColumn>
    <tableColumn id="20" xr3:uid="{991E09B4-5041-42D1-9734-08FB5A941E9B}" name="TOTAL TRIB._x000a_UNIT.(S/.)" totalsRowFunction="custom" dataDxfId="36" totalsRowDxfId="35">
      <calculatedColumnFormula>TABLA_BASE[[#This Row],[TOTAL PAGO
SUNAT
UNIT.(US$)]]*'📋 Datos Generales'!$E$19</calculatedColumnFormula>
      <totalsRowFormula>SUM(TABLA_BASE[TOTAL TRIB.
UNIT.(S/.)])</totalsRowFormula>
    </tableColumn>
    <tableColumn id="47" xr3:uid="{CF5B1DDE-E086-4C83-8BD8-3675F367186B}" name="TOTAL TRIB._x000a_TOTAL .(S/.)" totalsRowFunction="custom" dataDxfId="34" totalsRowDxfId="33">
      <calculatedColumnFormula>TABLA_BASE[[#This Row],[TOTAL TRIB.
UNIT.(S/.)]]*TABLA_BASE[[#This Row],[CANTIDAD
(unid.)]]</calculatedColumnFormula>
      <totalsRowFormula>SUM(TABLA_BASE[TOTAL TRIB.
TOTAL .(S/.)])</totalsRowFormula>
    </tableColumn>
    <tableColumn id="21" xr3:uid="{2220248C-106A-47FB-AB83-922F883AD098}" name="GASTOS IMP._x000a_UNIT.(US$)" totalsRowFunction="custom" dataDxfId="32" totalsRowDxfId="31">
      <calculatedColumnFormula>IF('🧾 Factura Comercial'!G5=0,0,'📦 Gastos Importación'!$E$28*(IF('🧾 Tributos Aduana'!$F$6=0,0,'🧾 Factura Comercial'!I5/'🧾 Tributos Aduana'!$F$6))/'🧾 Factura Comercial'!G5)</calculatedColumnFormula>
      <totalsRowFormula>SUM(TABLA_BASE[GASTOS IMP.
UNIT.(US$)])</totalsRowFormula>
    </tableColumn>
    <tableColumn id="48" xr3:uid="{A0AD8400-2E81-4A47-815C-C968A63FBE2D}" name="GASTOS IMP._x000a_TOTAL.(US$)2" totalsRowFunction="custom" dataDxfId="30" totalsRowDxfId="29">
      <calculatedColumnFormula>TABLA_BASE[[#This Row],[GASTOS IMP.
UNIT.(US$)]]*TABLA_BASE[[#This Row],[CANTIDAD
(unid.)]]</calculatedColumnFormula>
      <totalsRowFormula>SUM(TABLA_BASE[GASTOS IMP.
TOTAL.(US$)2])</totalsRowFormula>
    </tableColumn>
    <tableColumn id="22" xr3:uid="{F078DD08-FDEB-415D-A808-9F2FF208A2B7}" name="GASTOS IMP._x000a_UNIT.(S/.)" totalsRowFunction="custom" dataDxfId="28" totalsRowDxfId="27">
      <calculatedColumnFormula>TABLA_BASE[[#This Row],[GASTOS IMP.
UNIT.(US$)]]*'📋 Datos Generales'!$E$19</calculatedColumnFormula>
      <totalsRowFormula>SUM(TABLA_BASE[GASTOS IMP.
UNIT.(S/.)])</totalsRowFormula>
    </tableColumn>
    <tableColumn id="49" xr3:uid="{3C6151E5-41B1-4F1E-9089-44E38D510F64}" name="GASTOS IMP._x000a_TOTAL.(S/.)2" totalsRowFunction="custom" dataDxfId="26" totalsRowDxfId="25">
      <calculatedColumnFormula>TABLA_BASE[[#This Row],[GASTOS IMP.
UNIT.(S/.)]]*TABLA_BASE[[#This Row],[CANTIDAD
(unid.)]]</calculatedColumnFormula>
      <totalsRowFormula>SUM(TABLA_BASE[GASTOS IMP.
TOTAL.(S/.)2])</totalsRowFormula>
    </tableColumn>
    <tableColumn id="23" xr3:uid="{BE4722AC-363D-4FB3-BCFF-0A08DA97150A}" name="C/M UNIT._x000a_(US$)" totalsRowFunction="custom" dataDxfId="24" totalsRowDxfId="23">
      <calculatedColumnFormula>'🧮 Costos x Producto'!J7</calculatedColumnFormula>
      <totalsRowFormula>SUM(TABLA_BASE[C/M UNIT.
(US$)])</totalsRowFormula>
    </tableColumn>
    <tableColumn id="24" xr3:uid="{D85233DB-A58C-4C32-B021-3227A37018B3}" name="C/M UNIT._x000a_(S/.)" totalsRowFunction="custom" dataDxfId="22" totalsRowDxfId="21">
      <calculatedColumnFormula>'🧮 Costos x Producto'!K7</calculatedColumnFormula>
      <totalsRowFormula>SUM(TABLA_BASE[C/M UNIT.
(S/.)])</totalsRowFormula>
    </tableColumn>
    <tableColumn id="25" xr3:uid="{03AA727C-4E17-4DDF-B74F-B3C0933CCDB3}" name="ADV UNIT._x000a_⚠️COSTO_x000a_(US$)" totalsRowFunction="custom" dataDxfId="20" totalsRowDxfId="19">
      <calculatedColumnFormula>IF('🧾 Factura Comercial'!G5=0,0,'🧾 Tributos Aduana'!$F$17*(IF('🧾 Tributos Aduana'!$F$6=0,0,'🧾 Factura Comercial'!I5/'🧾 Tributos Aduana'!$F$6))/'🧾 Factura Comercial'!G5)</calculatedColumnFormula>
      <totalsRowFormula>SUM(TABLA_BASE[ADV UNIT.
⚠️COSTO
(US$)])</totalsRowFormula>
    </tableColumn>
    <tableColumn id="26" xr3:uid="{048E400F-7112-4835-9C09-AB9FC91B7ABC}" name="CF UNIT._x000a_✅RECUP._x000a_(US$)" totalsRowFunction="custom" dataDxfId="18" totalsRowDxfId="17">
      <calculatedColumnFormula>IF('🧾 Factura Comercial'!G5=0,0,'🏦 Crédito Fiscal'!$C$16*(IF('🧾 Tributos Aduana'!$F$6=0,0,'🧾 Factura Comercial'!I5/'🧾 Tributos Aduana'!$F$6))/'🧾 Factura Comercial'!G5)</calculatedColumnFormula>
      <totalsRowFormula>SUM(TABLA_BASE[CF UNIT.
✅RECUP.
(US$)])</totalsRowFormula>
    </tableColumn>
    <tableColumn id="27" xr3:uid="{EDAB422B-87AC-4C4A-A47C-0C98B7CA3239}" name="CF UNIT._x000a_✅RECUP.(S/.)" totalsRowFunction="custom" dataDxfId="16" totalsRowDxfId="15">
      <calculatedColumnFormula>TABLA_BASE[[#This Row],[CF UNIT.
✅RECUP.
(US$)]]*'📋 Datos Generales'!$E$19</calculatedColumnFormula>
      <totalsRowFormula>SUM(TABLA_BASE[CF UNIT.
✅RECUP.(S/.)])</totalsRowFormula>
    </tableColumn>
    <tableColumn id="51" xr3:uid="{247355A9-6612-46D5-928A-B299CF2B0160}" name="CREDITO FISCAL POR PRODUCTO" totalsRowFunction="custom" dataDxfId="14" totalsRowDxfId="13">
      <calculatedColumnFormula>TABLA_BASE[[#This Row],[CF UNIT.
✅RECUP.(S/.)]]*TABLA_BASE[[#This Row],[CANTIDAD
(unid.)]]</calculatedColumnFormula>
      <totalsRowFormula>SUM(AN3:AN11)</totalsRowFormula>
    </tableColumn>
    <tableColumn id="28" xr3:uid="{4ED425E2-0E4E-4E10-93A9-6B060269177C}" name="MARGEN_x000a_%" totalsRowFunction="custom" dataDxfId="12" totalsRowDxfId="11" dataCellStyle="Porcentaje">
      <calculatedColumnFormula>'💰 Precio de Venta'!G8</calculatedColumnFormula>
      <totalsRowFormula>SUM(TABLA_BASE[MARGEN
%])</totalsRowFormula>
    </tableColumn>
    <tableColumn id="29" xr3:uid="{4F455974-01AC-43EC-AFBA-3C86C2FA3339}" name="VALOR VTA._x000a_UNIT.(S/.)" dataDxfId="10">
      <calculatedColumnFormula>'💰 Precio de Venta'!H8</calculatedColumnFormula>
    </tableColumn>
    <tableColumn id="30" xr3:uid="{3065A30B-7C0C-4B32-8E70-4B5A47BFE0A3}" name="PRECIO VTA._x000a_c/IGV(S/.)" dataDxfId="9">
      <calculatedColumnFormula>'💰 Precio de Venta'!I8</calculatedColumnFormula>
    </tableColumn>
    <tableColumn id="31" xr3:uid="{464E7AB6-4A81-429B-A33B-4813EDBA608C}" name="GANANCIA_x000a_UNIT.(S/.)" dataDxfId="8">
      <calculatedColumnFormula>'💰 Precio de Venta'!J8</calculatedColumnFormula>
    </tableColumn>
    <tableColumn id="32" xr3:uid="{D4A7F2E2-C7F8-4B95-B540-0D0242532C8A}" name="PUNTO_x000a_EQUILIBRIO" dataDxfId="7">
      <calculatedColumnFormula>'💰 Precio de Venta'!K8</calculatedColumnFormula>
    </tableColumn>
    <tableColumn id="33" xr3:uid="{FC75FC93-B8B3-49D1-A6CC-DCD90BD90625}" name="GANANCIA_x000a_TOTAL(S/.)" totalsRowFunction="custom" dataDxfId="6" totalsRowDxfId="5">
      <calculatedColumnFormula>TABLA_BASE[[#This Row],[GANANCIA
UNIT.(S/.)]]*'🧾 Factura Comercial'!G5</calculatedColumnFormula>
      <totalsRowFormula>SUM(TABLA_BASE[GANANCIA
TOTAL(S/.)])</totalsRowFormula>
    </tableColumn>
    <tableColumn id="34" xr3:uid="{AED60901-E3B7-456D-AD2F-58F55CEADDD0}" name="% UTILIDAD_x000a_S/PRECIO" dataDxfId="4" dataCellStyle="Porcentaje">
      <calculatedColumnFormula>IF(TABLA_BASE[[#This Row],[PRECIO VTA.
c/IGV(S/.)]]=0,0,TABLA_BASE[[#This Row],[GANANCIA
UNIT.(S/.)]]/TABLA_BASE[[#This Row],[PRECIO VTA.
c/IGV(S/.)]])</calculatedColumnFormula>
    </tableColumn>
    <tableColumn id="35" xr3:uid="{E01AEE20-C6B7-49F2-898A-DA31E8221CD8}" name="ROI_x000a_UNIT." totalsRowFunction="custom" dataDxfId="3" totalsRowDxfId="2" dataCellStyle="Porcentaje">
      <calculatedColumnFormula>IF(TABLA_BASE[[#This Row],[C/M UNIT.
(S/.)]]=0,0,TABLA_BASE[[#This Row],[GANANCIA
UNIT.(S/.)]]/TABLA_BASE[[#This Row],[C/M UNIT.
(S/.)]])</calculatedColumnFormula>
      <totalsRowFormula>SUM(TABLA_BASE[ROI
UNIT.])</totalsRowFormula>
    </tableColumn>
    <tableColumn id="36" xr3:uid="{FB4B87EC-E55B-420A-86F4-16AA1FDF90BE}" name="CLASIF._x000a_MARGEN" totalsRowFunction="custom" dataDxfId="1" totalsRowDxfId="0">
      <calculatedColumnFormula>IF(TABLA_BASE[[#This Row],[MARGEN
%]]&gt;=0.5,"🟢 ALTO",IF(TABLA_BASE[[#This Row],[MARGEN
%]]&gt;=0.3,"🟡 MEDIO","🔴 BAJO"))</calculatedColumnFormula>
      <totalsRowFormula>SUM(TABLA_BASE[CLASIF.
MARGEN])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BH129"/>
  <sheetViews>
    <sheetView showGridLines="0" showRowColHeaders="0" zoomScale="115" zoomScaleNormal="115" workbookViewId="0">
      <selection activeCell="E8" sqref="E8:L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1" width="2" style="93" customWidth="1"/>
    <col min="2" max="4" width="5.42578125" style="93" customWidth="1"/>
    <col min="5" max="12" width="18" customWidth="1"/>
    <col min="13" max="13" width="2" style="93" customWidth="1"/>
    <col min="14" max="15" width="8.7109375" style="93"/>
    <col min="16" max="16" width="16.28515625" style="93" customWidth="1"/>
    <col min="17" max="18" width="8.7109375" style="93"/>
    <col min="19" max="19" width="16.28515625" style="93" customWidth="1"/>
    <col min="20" max="21" width="8.7109375" style="93"/>
    <col min="22" max="22" width="16.28515625" style="93" customWidth="1"/>
    <col min="23" max="24" width="8.7109375" style="93"/>
    <col min="25" max="25" width="16.28515625" style="93" customWidth="1"/>
    <col min="26" max="27" width="8.7109375" style="93"/>
    <col min="28" max="28" width="16.28515625" style="93" customWidth="1"/>
    <col min="29" max="30" width="8.7109375" style="93"/>
    <col min="31" max="31" width="16.28515625" style="93" customWidth="1"/>
    <col min="32" max="33" width="8.7109375" style="93"/>
    <col min="34" max="34" width="16.28515625" style="93" customWidth="1"/>
    <col min="35" max="36" width="8.7109375" style="93"/>
    <col min="37" max="37" width="16.28515625" style="93" customWidth="1"/>
    <col min="38" max="39" width="8.7109375" style="93"/>
    <col min="40" max="40" width="16.28515625" style="93" customWidth="1"/>
    <col min="41" max="42" width="8.7109375" style="93"/>
    <col min="43" max="43" width="16.28515625" style="93" customWidth="1"/>
    <col min="44" max="45" width="8.7109375" style="93"/>
    <col min="46" max="46" width="16.28515625" style="93" customWidth="1"/>
    <col min="47" max="48" width="8.7109375" style="93"/>
    <col min="49" max="49" width="16.28515625" style="93" customWidth="1"/>
    <col min="50" max="51" width="8.7109375" style="93"/>
    <col min="52" max="52" width="16.28515625" style="93" customWidth="1"/>
    <col min="53" max="54" width="8.7109375" style="93"/>
    <col min="55" max="55" width="16.28515625" style="93" customWidth="1"/>
    <col min="56" max="57" width="8.7109375" style="93"/>
    <col min="58" max="58" width="16.28515625" style="93" customWidth="1"/>
    <col min="59" max="60" width="8.7109375" style="93"/>
  </cols>
  <sheetData>
    <row r="1" spans="1:13" s="93" customFormat="1" ht="7.5" customHeight="1" x14ac:dyDescent="0.25">
      <c r="A1" s="384"/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</row>
    <row r="2" spans="1:13" ht="54.75" customHeight="1" thickBot="1" x14ac:dyDescent="0.3">
      <c r="E2" s="440" t="s">
        <v>0</v>
      </c>
      <c r="F2" s="441"/>
      <c r="G2" s="441"/>
      <c r="H2" s="441"/>
      <c r="I2" s="441"/>
      <c r="J2" s="441"/>
      <c r="K2" s="441"/>
      <c r="L2" s="442"/>
    </row>
    <row r="3" spans="1:13" ht="34.5" customHeight="1" x14ac:dyDescent="0.25">
      <c r="E3" s="443" t="s">
        <v>1</v>
      </c>
      <c r="F3" s="444"/>
      <c r="G3" s="444"/>
      <c r="H3" s="444"/>
      <c r="I3" s="444"/>
      <c r="J3" s="444"/>
      <c r="K3" s="444"/>
      <c r="L3" s="445"/>
    </row>
    <row r="4" spans="1:13" ht="12" customHeight="1" x14ac:dyDescent="0.25">
      <c r="E4" s="374"/>
      <c r="F4" s="375"/>
      <c r="G4" s="375"/>
      <c r="H4" s="375"/>
      <c r="I4" s="375"/>
      <c r="J4" s="375"/>
      <c r="K4" s="375"/>
      <c r="L4" s="376"/>
    </row>
    <row r="5" spans="1:13" ht="7.5" customHeight="1" x14ac:dyDescent="0.25">
      <c r="E5" s="430"/>
      <c r="F5" s="431"/>
      <c r="G5" s="431"/>
      <c r="H5" s="431"/>
      <c r="I5" s="431"/>
      <c r="J5" s="431"/>
      <c r="K5" s="431"/>
      <c r="L5" s="432"/>
    </row>
    <row r="6" spans="1:13" ht="27.75" customHeight="1" x14ac:dyDescent="0.25">
      <c r="E6" s="427" t="s">
        <v>2</v>
      </c>
      <c r="F6" s="428"/>
      <c r="G6" s="428"/>
      <c r="H6" s="428"/>
      <c r="I6" s="428"/>
      <c r="J6" s="428"/>
      <c r="K6" s="428"/>
      <c r="L6" s="429"/>
    </row>
    <row r="7" spans="1:13" ht="7.5" customHeight="1" x14ac:dyDescent="0.25">
      <c r="E7" s="430"/>
      <c r="F7" s="431"/>
      <c r="G7" s="431"/>
      <c r="H7" s="431"/>
      <c r="I7" s="431"/>
      <c r="J7" s="431"/>
      <c r="K7" s="431"/>
      <c r="L7" s="432"/>
    </row>
    <row r="8" spans="1:13" ht="30" customHeight="1" thickBot="1" x14ac:dyDescent="0.3">
      <c r="E8" s="433" t="s">
        <v>3</v>
      </c>
      <c r="F8" s="434"/>
      <c r="G8" s="434"/>
      <c r="H8" s="434"/>
      <c r="I8" s="434"/>
      <c r="J8" s="434"/>
      <c r="K8" s="434"/>
      <c r="L8" s="435"/>
    </row>
    <row r="9" spans="1:13" ht="25.5" customHeight="1" thickBot="1" x14ac:dyDescent="0.3">
      <c r="E9" s="436" t="s">
        <v>4</v>
      </c>
      <c r="F9" s="437"/>
      <c r="G9" s="438" t="s">
        <v>5</v>
      </c>
      <c r="H9" s="438"/>
      <c r="I9" s="438"/>
      <c r="J9" s="438"/>
      <c r="K9" s="438"/>
      <c r="L9" s="439"/>
    </row>
    <row r="10" spans="1:13" ht="25.5" customHeight="1" thickBot="1" x14ac:dyDescent="0.3">
      <c r="E10" s="412" t="s">
        <v>6</v>
      </c>
      <c r="F10" s="413"/>
      <c r="G10" s="416" t="s">
        <v>7</v>
      </c>
      <c r="H10" s="416"/>
      <c r="I10" s="416"/>
      <c r="J10" s="416"/>
      <c r="K10" s="416"/>
      <c r="L10" s="417"/>
    </row>
    <row r="11" spans="1:13" ht="25.5" customHeight="1" thickBot="1" x14ac:dyDescent="0.3">
      <c r="E11" s="418" t="s">
        <v>8</v>
      </c>
      <c r="F11" s="419"/>
      <c r="G11" s="420" t="s">
        <v>9</v>
      </c>
      <c r="H11" s="421"/>
      <c r="I11" s="421"/>
      <c r="J11" s="421"/>
      <c r="K11" s="421"/>
      <c r="L11" s="422"/>
    </row>
    <row r="12" spans="1:13" ht="25.5" customHeight="1" thickBot="1" x14ac:dyDescent="0.3">
      <c r="E12" s="423" t="s">
        <v>10</v>
      </c>
      <c r="F12" s="424"/>
      <c r="G12" s="425" t="s">
        <v>11</v>
      </c>
      <c r="H12" s="425"/>
      <c r="I12" s="425"/>
      <c r="J12" s="425"/>
      <c r="K12" s="425"/>
      <c r="L12" s="426"/>
    </row>
    <row r="13" spans="1:13" ht="25.5" customHeight="1" thickBot="1" x14ac:dyDescent="0.3">
      <c r="E13" s="404" t="s">
        <v>12</v>
      </c>
      <c r="F13" s="405"/>
      <c r="G13" s="406" t="s">
        <v>13</v>
      </c>
      <c r="H13" s="406"/>
      <c r="I13" s="406"/>
      <c r="J13" s="406"/>
      <c r="K13" s="406"/>
      <c r="L13" s="407"/>
    </row>
    <row r="14" spans="1:13" ht="25.5" customHeight="1" thickBot="1" x14ac:dyDescent="0.3">
      <c r="E14" s="408" t="s">
        <v>14</v>
      </c>
      <c r="F14" s="409"/>
      <c r="G14" s="410" t="s">
        <v>15</v>
      </c>
      <c r="H14" s="410"/>
      <c r="I14" s="410"/>
      <c r="J14" s="410"/>
      <c r="K14" s="410"/>
      <c r="L14" s="411"/>
    </row>
    <row r="15" spans="1:13" ht="25.5" customHeight="1" thickBot="1" x14ac:dyDescent="0.3">
      <c r="E15" s="412" t="s">
        <v>16</v>
      </c>
      <c r="F15" s="413"/>
      <c r="G15" s="414" t="s">
        <v>17</v>
      </c>
      <c r="H15" s="414"/>
      <c r="I15" s="414"/>
      <c r="J15" s="414"/>
      <c r="K15" s="414"/>
      <c r="L15" s="415"/>
    </row>
    <row r="16" spans="1:13" ht="25.5" customHeight="1" thickBot="1" x14ac:dyDescent="0.3">
      <c r="E16" s="394" t="s">
        <v>18</v>
      </c>
      <c r="F16" s="395"/>
      <c r="G16" s="396" t="s">
        <v>19</v>
      </c>
      <c r="H16" s="396"/>
      <c r="I16" s="396"/>
      <c r="J16" s="396"/>
      <c r="K16" s="396"/>
      <c r="L16" s="397"/>
    </row>
    <row r="17" spans="1:13" ht="9.75" customHeight="1" thickBot="1" x14ac:dyDescent="0.3">
      <c r="E17" s="398"/>
      <c r="F17" s="399"/>
      <c r="G17" s="399"/>
      <c r="H17" s="399"/>
      <c r="I17" s="399"/>
      <c r="J17" s="399"/>
      <c r="K17" s="399"/>
      <c r="L17" s="400"/>
    </row>
    <row r="18" spans="1:13" ht="27.75" customHeight="1" thickBot="1" x14ac:dyDescent="0.3">
      <c r="E18" s="401" t="s">
        <v>20</v>
      </c>
      <c r="F18" s="402"/>
      <c r="G18" s="402"/>
      <c r="H18" s="402"/>
      <c r="I18" s="402"/>
      <c r="J18" s="402"/>
      <c r="K18" s="402"/>
      <c r="L18" s="403"/>
    </row>
    <row r="19" spans="1:13" ht="33.75" customHeight="1" thickBot="1" x14ac:dyDescent="0.3">
      <c r="E19" s="96" t="s">
        <v>21</v>
      </c>
      <c r="F19" s="2" t="s">
        <v>22</v>
      </c>
      <c r="G19" s="3" t="s">
        <v>23</v>
      </c>
      <c r="H19" s="4" t="s">
        <v>24</v>
      </c>
      <c r="I19" s="5" t="s">
        <v>25</v>
      </c>
      <c r="J19" s="6" t="s">
        <v>26</v>
      </c>
      <c r="K19" s="3" t="s">
        <v>27</v>
      </c>
      <c r="L19" s="97" t="s">
        <v>28</v>
      </c>
    </row>
    <row r="20" spans="1:13" ht="37.5" customHeight="1" x14ac:dyDescent="0.25">
      <c r="E20" s="98" t="s">
        <v>29</v>
      </c>
      <c r="F20" s="7" t="s">
        <v>30</v>
      </c>
      <c r="G20" s="8" t="s">
        <v>31</v>
      </c>
      <c r="H20" s="9" t="s">
        <v>32</v>
      </c>
      <c r="I20" s="10" t="s">
        <v>33</v>
      </c>
      <c r="J20" s="11" t="s">
        <v>34</v>
      </c>
      <c r="K20" s="8" t="s">
        <v>35</v>
      </c>
      <c r="L20" s="99" t="s">
        <v>36</v>
      </c>
    </row>
    <row r="21" spans="1:13" ht="9.75" customHeight="1" x14ac:dyDescent="0.25">
      <c r="E21" s="374"/>
      <c r="F21" s="375"/>
      <c r="G21" s="375"/>
      <c r="H21" s="375"/>
      <c r="I21" s="375"/>
      <c r="J21" s="375"/>
      <c r="K21" s="375"/>
      <c r="L21" s="376"/>
    </row>
    <row r="22" spans="1:13" ht="25.5" customHeight="1" x14ac:dyDescent="0.25">
      <c r="E22" s="385" t="s">
        <v>37</v>
      </c>
      <c r="F22" s="386"/>
      <c r="G22" s="386"/>
      <c r="H22" s="386"/>
      <c r="I22" s="386"/>
      <c r="J22" s="386"/>
      <c r="K22" s="386"/>
      <c r="L22" s="387"/>
    </row>
    <row r="23" spans="1:13" ht="30" customHeight="1" x14ac:dyDescent="0.25">
      <c r="E23" s="388" t="s">
        <v>38</v>
      </c>
      <c r="F23" s="389"/>
      <c r="G23" s="390" t="s">
        <v>39</v>
      </c>
      <c r="H23" s="390"/>
      <c r="I23" s="391" t="s">
        <v>40</v>
      </c>
      <c r="J23" s="391"/>
      <c r="K23" s="392" t="s">
        <v>41</v>
      </c>
      <c r="L23" s="393"/>
    </row>
    <row r="24" spans="1:13" ht="9.75" customHeight="1" x14ac:dyDescent="0.25">
      <c r="E24" s="374"/>
      <c r="F24" s="375"/>
      <c r="G24" s="375"/>
      <c r="H24" s="375"/>
      <c r="I24" s="375"/>
      <c r="J24" s="375"/>
      <c r="K24" s="375"/>
      <c r="L24" s="376"/>
    </row>
    <row r="25" spans="1:13" ht="27.75" customHeight="1" x14ac:dyDescent="0.25">
      <c r="E25" s="377" t="s">
        <v>42</v>
      </c>
      <c r="F25" s="378"/>
      <c r="G25" s="378"/>
      <c r="H25" s="378"/>
      <c r="I25" s="378"/>
      <c r="J25" s="378"/>
      <c r="K25" s="378"/>
      <c r="L25" s="379"/>
    </row>
    <row r="26" spans="1:13" ht="54" customHeight="1" x14ac:dyDescent="0.25">
      <c r="E26" s="380" t="s">
        <v>347</v>
      </c>
      <c r="F26" s="381"/>
      <c r="G26" s="381"/>
      <c r="H26" s="381"/>
      <c r="I26" s="381"/>
      <c r="J26" s="382" t="s">
        <v>43</v>
      </c>
      <c r="K26" s="382"/>
      <c r="L26" s="383"/>
    </row>
    <row r="27" spans="1:13" s="93" customFormat="1" ht="7.5" customHeight="1" x14ac:dyDescent="0.25">
      <c r="A27" s="384"/>
      <c r="B27" s="384"/>
      <c r="C27" s="384"/>
      <c r="D27" s="384"/>
      <c r="E27" s="384"/>
      <c r="F27" s="384"/>
      <c r="G27" s="384"/>
      <c r="H27" s="384"/>
      <c r="I27" s="384"/>
      <c r="J27" s="384"/>
      <c r="K27" s="384"/>
      <c r="L27" s="384"/>
      <c r="M27" s="384"/>
    </row>
    <row r="28" spans="1:13" s="93" customFormat="1" x14ac:dyDescent="0.25"/>
    <row r="29" spans="1:13" s="93" customFormat="1" x14ac:dyDescent="0.25"/>
    <row r="30" spans="1:13" s="93" customFormat="1" x14ac:dyDescent="0.25"/>
    <row r="31" spans="1:13" s="93" customFormat="1" x14ac:dyDescent="0.25"/>
    <row r="32" spans="1:13" s="93" customFormat="1" x14ac:dyDescent="0.25"/>
    <row r="33" s="93" customFormat="1" x14ac:dyDescent="0.25"/>
    <row r="34" s="93" customFormat="1" x14ac:dyDescent="0.25"/>
    <row r="35" s="93" customFormat="1" x14ac:dyDescent="0.25"/>
    <row r="36" s="93" customFormat="1" x14ac:dyDescent="0.25"/>
    <row r="37" s="93" customFormat="1" x14ac:dyDescent="0.25"/>
    <row r="38" s="93" customFormat="1" x14ac:dyDescent="0.25"/>
    <row r="39" s="93" customFormat="1" x14ac:dyDescent="0.25"/>
    <row r="40" s="93" customFormat="1" x14ac:dyDescent="0.25"/>
    <row r="41" s="93" customFormat="1" x14ac:dyDescent="0.25"/>
    <row r="42" s="93" customFormat="1" x14ac:dyDescent="0.25"/>
    <row r="43" s="93" customFormat="1" x14ac:dyDescent="0.25"/>
    <row r="44" s="93" customFormat="1" x14ac:dyDescent="0.25"/>
    <row r="45" s="93" customFormat="1" x14ac:dyDescent="0.25"/>
    <row r="46" s="93" customFormat="1" x14ac:dyDescent="0.25"/>
    <row r="47" s="93" customFormat="1" x14ac:dyDescent="0.25"/>
    <row r="48" s="93" customFormat="1" x14ac:dyDescent="0.25"/>
    <row r="49" s="93" customFormat="1" x14ac:dyDescent="0.25"/>
    <row r="50" s="93" customFormat="1" x14ac:dyDescent="0.25"/>
    <row r="51" s="93" customFormat="1" x14ac:dyDescent="0.25"/>
    <row r="52" s="93" customFormat="1" x14ac:dyDescent="0.25"/>
    <row r="53" s="93" customFormat="1" x14ac:dyDescent="0.25"/>
    <row r="54" s="93" customFormat="1" x14ac:dyDescent="0.25"/>
    <row r="55" s="93" customFormat="1" x14ac:dyDescent="0.25"/>
    <row r="56" s="93" customFormat="1" x14ac:dyDescent="0.25"/>
    <row r="57" s="93" customFormat="1" x14ac:dyDescent="0.25"/>
    <row r="58" s="93" customFormat="1" x14ac:dyDescent="0.25"/>
    <row r="59" s="93" customFormat="1" x14ac:dyDescent="0.25"/>
    <row r="60" s="93" customFormat="1" x14ac:dyDescent="0.25"/>
    <row r="61" s="93" customFormat="1" x14ac:dyDescent="0.25"/>
    <row r="62" s="93" customFormat="1" x14ac:dyDescent="0.25"/>
    <row r="63" s="93" customFormat="1" x14ac:dyDescent="0.25"/>
    <row r="64" s="93" customFormat="1" x14ac:dyDescent="0.25"/>
    <row r="65" s="93" customFormat="1" x14ac:dyDescent="0.25"/>
    <row r="66" s="93" customFormat="1" x14ac:dyDescent="0.25"/>
    <row r="67" s="93" customFormat="1" x14ac:dyDescent="0.25"/>
    <row r="68" s="93" customFormat="1" x14ac:dyDescent="0.25"/>
    <row r="69" s="93" customFormat="1" x14ac:dyDescent="0.25"/>
    <row r="70" s="93" customFormat="1" x14ac:dyDescent="0.25"/>
    <row r="71" s="93" customFormat="1" x14ac:dyDescent="0.25"/>
    <row r="72" s="93" customFormat="1" x14ac:dyDescent="0.25"/>
    <row r="73" s="93" customFormat="1" x14ac:dyDescent="0.25"/>
    <row r="74" s="93" customFormat="1" x14ac:dyDescent="0.25"/>
    <row r="75" s="93" customFormat="1" x14ac:dyDescent="0.25"/>
    <row r="76" s="93" customFormat="1" x14ac:dyDescent="0.25"/>
    <row r="77" s="93" customFormat="1" x14ac:dyDescent="0.25"/>
    <row r="78" s="93" customFormat="1" x14ac:dyDescent="0.25"/>
    <row r="79" s="93" customFormat="1" x14ac:dyDescent="0.25"/>
    <row r="80" s="93" customFormat="1" x14ac:dyDescent="0.25"/>
    <row r="81" s="93" customFormat="1" x14ac:dyDescent="0.25"/>
    <row r="82" s="93" customFormat="1" x14ac:dyDescent="0.25"/>
    <row r="83" s="93" customFormat="1" x14ac:dyDescent="0.25"/>
    <row r="84" s="93" customFormat="1" x14ac:dyDescent="0.25"/>
    <row r="85" s="93" customFormat="1" x14ac:dyDescent="0.25"/>
    <row r="86" s="93" customFormat="1" x14ac:dyDescent="0.25"/>
    <row r="87" s="93" customFormat="1" x14ac:dyDescent="0.25"/>
    <row r="88" s="93" customFormat="1" x14ac:dyDescent="0.25"/>
    <row r="89" s="93" customFormat="1" x14ac:dyDescent="0.25"/>
    <row r="90" s="93" customFormat="1" x14ac:dyDescent="0.25"/>
    <row r="91" s="93" customFormat="1" x14ac:dyDescent="0.25"/>
    <row r="92" s="93" customFormat="1" x14ac:dyDescent="0.25"/>
    <row r="93" s="93" customFormat="1" x14ac:dyDescent="0.25"/>
    <row r="94" s="93" customFormat="1" x14ac:dyDescent="0.25"/>
    <row r="95" s="93" customFormat="1" x14ac:dyDescent="0.25"/>
    <row r="96" s="93" customFormat="1" x14ac:dyDescent="0.25"/>
    <row r="97" s="93" customFormat="1" x14ac:dyDescent="0.25"/>
    <row r="98" s="93" customFormat="1" x14ac:dyDescent="0.25"/>
    <row r="99" s="93" customFormat="1" x14ac:dyDescent="0.25"/>
    <row r="100" s="93" customFormat="1" x14ac:dyDescent="0.25"/>
    <row r="101" s="93" customFormat="1" x14ac:dyDescent="0.25"/>
    <row r="102" s="93" customFormat="1" x14ac:dyDescent="0.25"/>
    <row r="103" s="93" customFormat="1" x14ac:dyDescent="0.25"/>
    <row r="104" s="93" customFormat="1" x14ac:dyDescent="0.25"/>
    <row r="105" s="93" customFormat="1" x14ac:dyDescent="0.25"/>
    <row r="106" s="93" customFormat="1" x14ac:dyDescent="0.25"/>
    <row r="107" s="93" customFormat="1" x14ac:dyDescent="0.25"/>
    <row r="108" s="93" customFormat="1" x14ac:dyDescent="0.25"/>
    <row r="109" s="93" customFormat="1" x14ac:dyDescent="0.25"/>
    <row r="110" s="93" customFormat="1" x14ac:dyDescent="0.25"/>
    <row r="111" s="93" customFormat="1" x14ac:dyDescent="0.25"/>
    <row r="112" s="93" customFormat="1" x14ac:dyDescent="0.25"/>
    <row r="113" spans="1:60" s="93" customFormat="1" x14ac:dyDescent="0.25"/>
    <row r="114" spans="1:60" s="93" customFormat="1" x14ac:dyDescent="0.25"/>
    <row r="115" spans="1:60" s="93" customFormat="1" x14ac:dyDescent="0.25"/>
    <row r="116" spans="1:60" s="93" customFormat="1" x14ac:dyDescent="0.25"/>
    <row r="117" spans="1:60" s="93" customFormat="1" x14ac:dyDescent="0.25"/>
    <row r="118" spans="1:60" s="93" customFormat="1" x14ac:dyDescent="0.25"/>
    <row r="119" spans="1:60" s="93" customFormat="1" x14ac:dyDescent="0.25"/>
    <row r="120" spans="1:60" s="93" customFormat="1" x14ac:dyDescent="0.25"/>
    <row r="121" spans="1:60" s="93" customFormat="1" x14ac:dyDescent="0.25"/>
    <row r="122" spans="1:60" s="93" customFormat="1" x14ac:dyDescent="0.25"/>
    <row r="123" spans="1:60" s="93" customFormat="1" x14ac:dyDescent="0.25"/>
    <row r="124" spans="1:60" s="93" customFormat="1" x14ac:dyDescent="0.25"/>
    <row r="125" spans="1:60" s="93" customFormat="1" x14ac:dyDescent="0.25"/>
    <row r="126" spans="1:60" s="93" customFormat="1" x14ac:dyDescent="0.25"/>
    <row r="127" spans="1:60" s="93" customFormat="1" x14ac:dyDescent="0.25"/>
    <row r="128" spans="1:60" s="84" customFormat="1" x14ac:dyDescent="0.25">
      <c r="A128" s="93"/>
      <c r="B128" s="93"/>
      <c r="C128" s="93"/>
      <c r="D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  <c r="AQ128" s="93"/>
      <c r="AR128" s="93"/>
      <c r="AS128" s="93"/>
      <c r="AT128" s="93"/>
      <c r="AU128" s="93"/>
      <c r="AV128" s="93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</row>
    <row r="129" spans="1:60" s="84" customFormat="1" x14ac:dyDescent="0.25">
      <c r="A129" s="93"/>
      <c r="B129" s="93"/>
      <c r="C129" s="93"/>
      <c r="D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  <c r="AT129" s="93"/>
      <c r="AU129" s="93"/>
      <c r="AV129" s="93"/>
      <c r="AW129" s="93"/>
      <c r="AX129" s="93"/>
      <c r="AY129" s="93"/>
      <c r="AZ129" s="93"/>
      <c r="BA129" s="93"/>
      <c r="BB129" s="93"/>
      <c r="BC129" s="93"/>
      <c r="BD129" s="93"/>
      <c r="BE129" s="93"/>
      <c r="BF129" s="93"/>
      <c r="BG129" s="93"/>
      <c r="BH129" s="93"/>
    </row>
  </sheetData>
  <mergeCells count="37">
    <mergeCell ref="A1:M1"/>
    <mergeCell ref="E2:L2"/>
    <mergeCell ref="E3:L3"/>
    <mergeCell ref="E4:L4"/>
    <mergeCell ref="E5:L5"/>
    <mergeCell ref="E6:L6"/>
    <mergeCell ref="E7:L7"/>
    <mergeCell ref="E8:L8"/>
    <mergeCell ref="E9:F9"/>
    <mergeCell ref="G9:L9"/>
    <mergeCell ref="E10:F10"/>
    <mergeCell ref="G10:L10"/>
    <mergeCell ref="E11:F11"/>
    <mergeCell ref="G11:L11"/>
    <mergeCell ref="E12:F12"/>
    <mergeCell ref="G12:L12"/>
    <mergeCell ref="E13:F13"/>
    <mergeCell ref="G13:L13"/>
    <mergeCell ref="E14:F14"/>
    <mergeCell ref="G14:L14"/>
    <mergeCell ref="E15:F15"/>
    <mergeCell ref="G15:L15"/>
    <mergeCell ref="E16:F16"/>
    <mergeCell ref="G16:L16"/>
    <mergeCell ref="E17:L17"/>
    <mergeCell ref="E18:L18"/>
    <mergeCell ref="E21:L21"/>
    <mergeCell ref="E22:L22"/>
    <mergeCell ref="E23:F23"/>
    <mergeCell ref="G23:H23"/>
    <mergeCell ref="I23:J23"/>
    <mergeCell ref="K23:L23"/>
    <mergeCell ref="E24:L24"/>
    <mergeCell ref="E25:L25"/>
    <mergeCell ref="E26:I26"/>
    <mergeCell ref="J26:L26"/>
    <mergeCell ref="A27:M27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N50"/>
  <sheetViews>
    <sheetView showGridLines="0" zoomScale="85" zoomScaleNormal="85" workbookViewId="0">
      <selection activeCell="D5" sqref="D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.75" x14ac:dyDescent="0.25"/>
  <cols>
    <col min="1" max="1" width="6.140625" customWidth="1"/>
    <col min="2" max="2" width="6.5703125" customWidth="1"/>
    <col min="3" max="3" width="4.7109375" customWidth="1"/>
    <col min="4" max="4" width="125.28515625" style="347" customWidth="1"/>
  </cols>
  <sheetData>
    <row r="1" spans="1:14" s="100" customFormat="1" ht="34.5" customHeight="1" x14ac:dyDescent="0.25">
      <c r="A1" s="446" t="s">
        <v>447</v>
      </c>
      <c r="B1" s="446"/>
      <c r="C1" s="446"/>
      <c r="D1" s="446"/>
      <c r="E1" s="446"/>
      <c r="F1" s="446"/>
      <c r="G1" s="446"/>
      <c r="H1" s="446"/>
    </row>
    <row r="2" spans="1:14" ht="19.5" customHeight="1" x14ac:dyDescent="0.25">
      <c r="D2" s="339"/>
    </row>
    <row r="3" spans="1:14" ht="19.5" customHeight="1" x14ac:dyDescent="0.25">
      <c r="D3" s="340" t="s">
        <v>44</v>
      </c>
    </row>
    <row r="4" spans="1:14" ht="27.75" customHeight="1" x14ac:dyDescent="0.25">
      <c r="D4" s="339" t="s">
        <v>45</v>
      </c>
      <c r="F4" s="447" t="s">
        <v>456</v>
      </c>
      <c r="G4" s="447"/>
      <c r="H4" s="447"/>
      <c r="I4" s="447"/>
      <c r="J4" s="447"/>
      <c r="K4" s="447"/>
      <c r="L4" s="447"/>
      <c r="M4" s="447"/>
      <c r="N4" s="447"/>
    </row>
    <row r="5" spans="1:14" ht="27.75" customHeight="1" x14ac:dyDescent="0.25">
      <c r="D5" s="339" t="s">
        <v>46</v>
      </c>
      <c r="F5" s="447"/>
      <c r="G5" s="447"/>
      <c r="H5" s="447"/>
      <c r="I5" s="447"/>
      <c r="J5" s="447"/>
      <c r="K5" s="447"/>
      <c r="L5" s="447"/>
      <c r="M5" s="447"/>
      <c r="N5" s="447"/>
    </row>
    <row r="6" spans="1:14" ht="27.75" customHeight="1" x14ac:dyDescent="0.25">
      <c r="D6" s="339" t="s">
        <v>47</v>
      </c>
      <c r="F6" s="447"/>
      <c r="G6" s="447"/>
      <c r="H6" s="447"/>
      <c r="I6" s="447"/>
      <c r="J6" s="447"/>
      <c r="K6" s="447"/>
      <c r="L6" s="447"/>
      <c r="M6" s="447"/>
      <c r="N6" s="447"/>
    </row>
    <row r="7" spans="1:14" ht="27.75" customHeight="1" x14ac:dyDescent="0.25">
      <c r="D7" s="339" t="s">
        <v>48</v>
      </c>
      <c r="F7" s="447"/>
      <c r="G7" s="447"/>
      <c r="H7" s="447"/>
      <c r="I7" s="447"/>
      <c r="J7" s="447"/>
      <c r="K7" s="447"/>
      <c r="L7" s="447"/>
      <c r="M7" s="447"/>
      <c r="N7" s="447"/>
    </row>
    <row r="8" spans="1:14" ht="10.5" customHeight="1" x14ac:dyDescent="0.25">
      <c r="D8" s="339"/>
      <c r="F8" s="447"/>
      <c r="G8" s="447"/>
      <c r="H8" s="447"/>
      <c r="I8" s="447"/>
      <c r="J8" s="447"/>
      <c r="K8" s="447"/>
      <c r="L8" s="447"/>
      <c r="M8" s="447"/>
      <c r="N8" s="447"/>
    </row>
    <row r="9" spans="1:14" ht="27.75" customHeight="1" x14ac:dyDescent="0.25">
      <c r="D9" s="341" t="s">
        <v>49</v>
      </c>
      <c r="F9" s="447"/>
      <c r="G9" s="447"/>
      <c r="H9" s="447"/>
      <c r="I9" s="447"/>
      <c r="J9" s="447"/>
      <c r="K9" s="447"/>
      <c r="L9" s="447"/>
      <c r="M9" s="447"/>
      <c r="N9" s="447"/>
    </row>
    <row r="10" spans="1:14" ht="27.75" customHeight="1" x14ac:dyDescent="0.25">
      <c r="D10" s="339" t="s">
        <v>50</v>
      </c>
      <c r="F10" s="447"/>
      <c r="G10" s="447"/>
      <c r="H10" s="447"/>
      <c r="I10" s="447"/>
      <c r="J10" s="447"/>
      <c r="K10" s="447"/>
      <c r="L10" s="447"/>
      <c r="M10" s="447"/>
      <c r="N10" s="447"/>
    </row>
    <row r="11" spans="1:14" ht="27.75" customHeight="1" x14ac:dyDescent="0.25">
      <c r="D11" s="339" t="s">
        <v>51</v>
      </c>
      <c r="F11" s="447"/>
      <c r="G11" s="447"/>
      <c r="H11" s="447"/>
      <c r="I11" s="447"/>
      <c r="J11" s="447"/>
      <c r="K11" s="447"/>
      <c r="L11" s="447"/>
      <c r="M11" s="447"/>
      <c r="N11" s="447"/>
    </row>
    <row r="12" spans="1:14" ht="27.75" customHeight="1" x14ac:dyDescent="0.25">
      <c r="D12" s="339" t="s">
        <v>52</v>
      </c>
      <c r="F12" s="447"/>
      <c r="G12" s="447"/>
      <c r="H12" s="447"/>
      <c r="I12" s="447"/>
      <c r="J12" s="447"/>
      <c r="K12" s="447"/>
      <c r="L12" s="447"/>
      <c r="M12" s="447"/>
      <c r="N12" s="447"/>
    </row>
    <row r="13" spans="1:14" ht="15" customHeight="1" x14ac:dyDescent="0.25">
      <c r="D13" s="339"/>
      <c r="F13" s="447"/>
      <c r="G13" s="447"/>
      <c r="H13" s="447"/>
      <c r="I13" s="447"/>
      <c r="J13" s="447"/>
      <c r="K13" s="447"/>
      <c r="L13" s="447"/>
      <c r="M13" s="447"/>
      <c r="N13" s="447"/>
    </row>
    <row r="14" spans="1:14" ht="27.75" customHeight="1" x14ac:dyDescent="0.25">
      <c r="D14" s="342" t="s">
        <v>53</v>
      </c>
      <c r="F14" s="447"/>
      <c r="G14" s="447"/>
      <c r="H14" s="447"/>
      <c r="I14" s="447"/>
      <c r="J14" s="447"/>
      <c r="K14" s="447"/>
      <c r="L14" s="447"/>
      <c r="M14" s="447"/>
      <c r="N14" s="447"/>
    </row>
    <row r="15" spans="1:14" ht="27.75" customHeight="1" x14ac:dyDescent="0.25">
      <c r="D15" s="339" t="s">
        <v>54</v>
      </c>
    </row>
    <row r="16" spans="1:14" ht="27.75" customHeight="1" x14ac:dyDescent="0.25">
      <c r="D16" s="339" t="s">
        <v>55</v>
      </c>
    </row>
    <row r="17" spans="4:4" ht="27.75" customHeight="1" x14ac:dyDescent="0.25">
      <c r="D17" s="339" t="s">
        <v>56</v>
      </c>
    </row>
    <row r="18" spans="4:4" ht="27.75" customHeight="1" x14ac:dyDescent="0.25">
      <c r="D18" s="339" t="s">
        <v>57</v>
      </c>
    </row>
    <row r="19" spans="4:4" ht="15" customHeight="1" x14ac:dyDescent="0.25">
      <c r="D19" s="339"/>
    </row>
    <row r="20" spans="4:4" ht="27.75" customHeight="1" x14ac:dyDescent="0.25">
      <c r="D20" s="343" t="s">
        <v>58</v>
      </c>
    </row>
    <row r="21" spans="4:4" ht="27.75" customHeight="1" x14ac:dyDescent="0.25">
      <c r="D21" s="339" t="s">
        <v>59</v>
      </c>
    </row>
    <row r="22" spans="4:4" ht="27.75" customHeight="1" x14ac:dyDescent="0.25">
      <c r="D22" s="339" t="s">
        <v>60</v>
      </c>
    </row>
    <row r="23" spans="4:4" ht="15" customHeight="1" x14ac:dyDescent="0.25">
      <c r="D23" s="339"/>
    </row>
    <row r="24" spans="4:4" ht="27.75" customHeight="1" x14ac:dyDescent="0.25">
      <c r="D24" s="340" t="s">
        <v>61</v>
      </c>
    </row>
    <row r="25" spans="4:4" ht="27.75" customHeight="1" x14ac:dyDescent="0.25">
      <c r="D25" s="339" t="s">
        <v>62</v>
      </c>
    </row>
    <row r="26" spans="4:4" ht="27.75" customHeight="1" x14ac:dyDescent="0.25">
      <c r="D26" s="339" t="s">
        <v>63</v>
      </c>
    </row>
    <row r="27" spans="4:4" ht="15" customHeight="1" x14ac:dyDescent="0.25">
      <c r="D27" s="339"/>
    </row>
    <row r="28" spans="4:4" ht="27.75" customHeight="1" x14ac:dyDescent="0.25">
      <c r="D28" s="341" t="s">
        <v>64</v>
      </c>
    </row>
    <row r="29" spans="4:4" ht="27.75" customHeight="1" x14ac:dyDescent="0.25">
      <c r="D29" s="339" t="s">
        <v>65</v>
      </c>
    </row>
    <row r="30" spans="4:4" ht="27.75" customHeight="1" x14ac:dyDescent="0.25">
      <c r="D30" s="339" t="s">
        <v>66</v>
      </c>
    </row>
    <row r="31" spans="4:4" ht="27.75" customHeight="1" x14ac:dyDescent="0.25">
      <c r="D31" s="339" t="s">
        <v>67</v>
      </c>
    </row>
    <row r="32" spans="4:4" ht="27.75" customHeight="1" x14ac:dyDescent="0.25">
      <c r="D32" s="339" t="s">
        <v>68</v>
      </c>
    </row>
    <row r="33" spans="4:4" ht="15" customHeight="1" x14ac:dyDescent="0.25">
      <c r="D33" s="339"/>
    </row>
    <row r="34" spans="4:4" ht="27.75" customHeight="1" x14ac:dyDescent="0.25">
      <c r="D34" s="342" t="s">
        <v>69</v>
      </c>
    </row>
    <row r="35" spans="4:4" ht="27.75" customHeight="1" x14ac:dyDescent="0.25">
      <c r="D35" s="339" t="s">
        <v>70</v>
      </c>
    </row>
    <row r="36" spans="4:4" ht="27.75" customHeight="1" x14ac:dyDescent="0.25">
      <c r="D36" s="339" t="s">
        <v>71</v>
      </c>
    </row>
    <row r="37" spans="4:4" ht="27.75" customHeight="1" x14ac:dyDescent="0.25">
      <c r="D37" s="339" t="s">
        <v>72</v>
      </c>
    </row>
    <row r="38" spans="4:4" ht="15" customHeight="1" x14ac:dyDescent="0.25">
      <c r="D38" s="339"/>
    </row>
    <row r="39" spans="4:4" ht="27.75" customHeight="1" x14ac:dyDescent="0.25">
      <c r="D39" s="344" t="s">
        <v>73</v>
      </c>
    </row>
    <row r="40" spans="4:4" ht="27.75" customHeight="1" x14ac:dyDescent="0.25">
      <c r="D40" s="339" t="s">
        <v>74</v>
      </c>
    </row>
    <row r="41" spans="4:4" ht="27.75" customHeight="1" x14ac:dyDescent="0.25">
      <c r="D41" s="339" t="s">
        <v>75</v>
      </c>
    </row>
    <row r="42" spans="4:4" ht="13.5" customHeight="1" x14ac:dyDescent="0.25">
      <c r="D42" s="339"/>
    </row>
    <row r="43" spans="4:4" ht="27.75" customHeight="1" x14ac:dyDescent="0.25">
      <c r="D43" s="345" t="s">
        <v>76</v>
      </c>
    </row>
    <row r="44" spans="4:4" ht="27.75" customHeight="1" x14ac:dyDescent="0.25">
      <c r="D44" s="339" t="s">
        <v>77</v>
      </c>
    </row>
    <row r="45" spans="4:4" ht="15" customHeight="1" x14ac:dyDescent="0.25">
      <c r="D45" s="339"/>
    </row>
    <row r="46" spans="4:4" ht="27.75" customHeight="1" x14ac:dyDescent="0.25">
      <c r="D46" s="346" t="s">
        <v>78</v>
      </c>
    </row>
    <row r="47" spans="4:4" ht="27.75" customHeight="1" x14ac:dyDescent="0.25">
      <c r="D47" s="339" t="s">
        <v>79</v>
      </c>
    </row>
    <row r="48" spans="4:4" ht="27.75" customHeight="1" x14ac:dyDescent="0.25">
      <c r="D48" s="339" t="s">
        <v>80</v>
      </c>
    </row>
    <row r="49" spans="4:4" ht="27.75" customHeight="1" x14ac:dyDescent="0.25">
      <c r="D49" s="339" t="s">
        <v>81</v>
      </c>
    </row>
    <row r="50" spans="4:4" ht="15" customHeight="1" x14ac:dyDescent="0.25"/>
  </sheetData>
  <mergeCells count="2">
    <mergeCell ref="A1:H1"/>
    <mergeCell ref="F4:N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8DA23-D2B0-4F75-B2D0-9A8742AB3894}">
  <sheetPr>
    <tabColor rgb="FF7030A0"/>
  </sheetPr>
  <dimension ref="B2:O11"/>
  <sheetViews>
    <sheetView showGridLines="0" showRowColHeaders="0" workbookViewId="0">
      <selection activeCell="K17" sqref="K1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cols>
    <col min="1" max="1" width="2.7109375" customWidth="1"/>
  </cols>
  <sheetData>
    <row r="2" spans="2:15" ht="58.5" customHeight="1" x14ac:dyDescent="0.4">
      <c r="B2" s="448" t="s">
        <v>454</v>
      </c>
      <c r="C2" s="448"/>
      <c r="D2" s="448"/>
      <c r="E2" s="448"/>
      <c r="F2" s="448"/>
      <c r="G2" s="448"/>
      <c r="H2" s="448"/>
      <c r="I2" s="448"/>
      <c r="J2" s="448"/>
      <c r="K2" s="348"/>
      <c r="L2" s="348"/>
      <c r="M2" s="348"/>
      <c r="N2" s="348"/>
      <c r="O2" s="348"/>
    </row>
    <row r="3" spans="2:15" x14ac:dyDescent="0.25">
      <c r="B3" s="93"/>
      <c r="C3" s="93"/>
      <c r="D3" s="93"/>
      <c r="E3" s="93"/>
      <c r="F3" s="93"/>
      <c r="G3" s="93"/>
      <c r="H3" s="93"/>
      <c r="I3" s="93"/>
      <c r="J3" s="93"/>
    </row>
    <row r="4" spans="2:15" s="296" customFormat="1" ht="15.75" x14ac:dyDescent="0.25">
      <c r="B4" s="349">
        <v>1</v>
      </c>
      <c r="C4" s="349" t="s">
        <v>448</v>
      </c>
      <c r="D4" s="349"/>
      <c r="E4" s="350"/>
      <c r="F4" s="350"/>
      <c r="G4" s="350"/>
      <c r="H4" s="350"/>
      <c r="I4" s="350"/>
      <c r="J4" s="350"/>
    </row>
    <row r="5" spans="2:15" s="296" customFormat="1" ht="15.75" x14ac:dyDescent="0.25">
      <c r="B5" s="349">
        <v>2</v>
      </c>
      <c r="C5" s="349" t="s">
        <v>449</v>
      </c>
      <c r="D5" s="349"/>
      <c r="E5" s="350"/>
      <c r="F5" s="350"/>
      <c r="G5" s="350"/>
      <c r="H5" s="350"/>
      <c r="I5" s="350"/>
      <c r="J5" s="350"/>
    </row>
    <row r="6" spans="2:15" ht="15.75" x14ac:dyDescent="0.25">
      <c r="B6" s="351"/>
      <c r="C6" s="351">
        <v>2.1</v>
      </c>
      <c r="D6" s="351" t="s">
        <v>450</v>
      </c>
      <c r="E6" s="93"/>
      <c r="F6" s="93"/>
      <c r="G6" s="93"/>
      <c r="H6" s="93"/>
      <c r="I6" s="93"/>
      <c r="J6" s="93"/>
    </row>
    <row r="7" spans="2:15" ht="15.75" x14ac:dyDescent="0.25">
      <c r="B7" s="351"/>
      <c r="C7" s="351">
        <v>2.2000000000000002</v>
      </c>
      <c r="D7" s="351" t="s">
        <v>298</v>
      </c>
      <c r="E7" s="93"/>
      <c r="F7" s="93"/>
      <c r="G7" s="93"/>
      <c r="H7" s="93"/>
      <c r="I7" s="93"/>
      <c r="J7" s="93"/>
    </row>
    <row r="8" spans="2:15" ht="15.75" x14ac:dyDescent="0.25">
      <c r="B8" s="351"/>
      <c r="C8" s="351">
        <v>2.2999999999999998</v>
      </c>
      <c r="D8" s="351" t="s">
        <v>451</v>
      </c>
      <c r="E8" s="93"/>
      <c r="F8" s="93"/>
      <c r="G8" s="93"/>
      <c r="H8" s="93"/>
      <c r="I8" s="93"/>
      <c r="J8" s="93"/>
    </row>
    <row r="9" spans="2:15" ht="15.75" x14ac:dyDescent="0.25">
      <c r="B9" s="351"/>
      <c r="C9" s="351">
        <v>2.4</v>
      </c>
      <c r="D9" s="351" t="s">
        <v>452</v>
      </c>
      <c r="E9" s="93"/>
      <c r="F9" s="93"/>
      <c r="G9" s="93"/>
      <c r="H9" s="93"/>
      <c r="I9" s="93"/>
      <c r="J9" s="93"/>
    </row>
    <row r="10" spans="2:15" ht="15.75" x14ac:dyDescent="0.25">
      <c r="B10" s="351"/>
      <c r="C10" s="351">
        <v>2.5</v>
      </c>
      <c r="D10" s="351" t="s">
        <v>453</v>
      </c>
      <c r="E10" s="93"/>
      <c r="F10" s="93"/>
      <c r="G10" s="93"/>
      <c r="H10" s="93"/>
      <c r="I10" s="93"/>
      <c r="J10" s="93"/>
    </row>
    <row r="11" spans="2:15" x14ac:dyDescent="0.25">
      <c r="B11" s="93"/>
      <c r="C11" s="93"/>
      <c r="D11" s="93"/>
      <c r="E11" s="93"/>
      <c r="F11" s="93"/>
      <c r="G11" s="93"/>
      <c r="H11" s="93"/>
      <c r="I11" s="93"/>
      <c r="J11" s="93"/>
    </row>
  </sheetData>
  <mergeCells count="1">
    <mergeCell ref="B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C1:AI459"/>
  <sheetViews>
    <sheetView zoomScaleNormal="100" zoomScaleSheetLayoutView="70" workbookViewId="0">
      <selection activeCell="K6" sqref="K6"/>
    </sheetView>
  </sheetViews>
  <sheetFormatPr baseColWidth="10" defaultColWidth="8.7109375" defaultRowHeight="15" x14ac:dyDescent="0.25"/>
  <cols>
    <col min="1" max="1" width="7.28515625" customWidth="1"/>
    <col min="2" max="2" width="6.140625" customWidth="1"/>
    <col min="3" max="3" width="3.5703125" style="86" customWidth="1"/>
    <col min="4" max="4" width="28" customWidth="1"/>
    <col min="5" max="8" width="22" customWidth="1"/>
    <col min="9" max="9" width="3" style="86" customWidth="1"/>
    <col min="10" max="35" width="8.7109375" style="86"/>
  </cols>
  <sheetData>
    <row r="1" spans="4:8" s="101" customFormat="1" ht="45" customHeight="1" x14ac:dyDescent="0.25">
      <c r="D1" s="453" t="s">
        <v>82</v>
      </c>
      <c r="E1" s="453"/>
      <c r="F1" s="453"/>
      <c r="G1" s="453"/>
      <c r="H1" s="453"/>
    </row>
    <row r="2" spans="4:8" ht="15.75" customHeight="1" x14ac:dyDescent="0.25">
      <c r="D2" s="454" t="s">
        <v>83</v>
      </c>
      <c r="E2" s="455"/>
      <c r="F2" s="455"/>
      <c r="G2" s="455"/>
      <c r="H2" s="455"/>
    </row>
    <row r="3" spans="4:8" s="86" customFormat="1" ht="7.5" customHeight="1" x14ac:dyDescent="0.25"/>
    <row r="4" spans="4:8" ht="19.5" customHeight="1" x14ac:dyDescent="0.25">
      <c r="D4" s="451" t="s">
        <v>84</v>
      </c>
      <c r="E4" s="451"/>
      <c r="F4" s="451"/>
      <c r="G4" s="451"/>
      <c r="H4" s="451"/>
    </row>
    <row r="5" spans="4:8" ht="19.5" customHeight="1" x14ac:dyDescent="0.25">
      <c r="D5" s="12" t="s">
        <v>85</v>
      </c>
      <c r="E5" s="452" t="s">
        <v>86</v>
      </c>
      <c r="F5" s="452"/>
      <c r="G5" s="452"/>
      <c r="H5" s="452"/>
    </row>
    <row r="6" spans="4:8" ht="19.5" customHeight="1" x14ac:dyDescent="0.25">
      <c r="D6" s="12" t="s">
        <v>87</v>
      </c>
      <c r="E6" s="452" t="s">
        <v>88</v>
      </c>
      <c r="F6" s="452"/>
      <c r="G6" s="452"/>
      <c r="H6" s="452"/>
    </row>
    <row r="7" spans="4:8" ht="19.5" customHeight="1" x14ac:dyDescent="0.25">
      <c r="D7" s="12" t="s">
        <v>89</v>
      </c>
      <c r="E7" s="452" t="s">
        <v>90</v>
      </c>
      <c r="F7" s="452"/>
      <c r="G7" s="452"/>
      <c r="H7" s="452"/>
    </row>
    <row r="8" spans="4:8" ht="19.5" customHeight="1" x14ac:dyDescent="0.25">
      <c r="D8" s="12" t="s">
        <v>91</v>
      </c>
      <c r="E8" s="452" t="s">
        <v>92</v>
      </c>
      <c r="F8" s="452"/>
      <c r="G8" s="452"/>
      <c r="H8" s="452"/>
    </row>
    <row r="9" spans="4:8" ht="19.5" customHeight="1" x14ac:dyDescent="0.25">
      <c r="D9" s="12" t="s">
        <v>93</v>
      </c>
      <c r="E9" s="452" t="s">
        <v>94</v>
      </c>
      <c r="F9" s="452"/>
      <c r="G9" s="452"/>
      <c r="H9" s="452"/>
    </row>
    <row r="10" spans="4:8" ht="19.5" customHeight="1" x14ac:dyDescent="0.25">
      <c r="D10" s="12" t="s">
        <v>95</v>
      </c>
      <c r="E10" s="452" t="s">
        <v>96</v>
      </c>
      <c r="F10" s="452"/>
      <c r="G10" s="452"/>
      <c r="H10" s="452"/>
    </row>
    <row r="11" spans="4:8" ht="19.5" customHeight="1" x14ac:dyDescent="0.25">
      <c r="D11" s="12" t="s">
        <v>97</v>
      </c>
      <c r="E11" s="452" t="s">
        <v>98</v>
      </c>
      <c r="F11" s="452"/>
      <c r="G11" s="452"/>
      <c r="H11" s="452"/>
    </row>
    <row r="12" spans="4:8" ht="19.5" customHeight="1" x14ac:dyDescent="0.25">
      <c r="D12" s="12" t="s">
        <v>99</v>
      </c>
      <c r="E12" s="452" t="s">
        <v>100</v>
      </c>
      <c r="F12" s="452"/>
      <c r="G12" s="452"/>
      <c r="H12" s="452"/>
    </row>
    <row r="13" spans="4:8" ht="19.5" customHeight="1" x14ac:dyDescent="0.25">
      <c r="D13" s="12" t="s">
        <v>101</v>
      </c>
      <c r="E13" s="452" t="s">
        <v>102</v>
      </c>
      <c r="F13" s="452"/>
      <c r="G13" s="452"/>
      <c r="H13" s="452"/>
    </row>
    <row r="14" spans="4:8" ht="19.5" customHeight="1" x14ac:dyDescent="0.25">
      <c r="D14" s="12" t="s">
        <v>103</v>
      </c>
      <c r="E14" s="452" t="s">
        <v>104</v>
      </c>
      <c r="F14" s="452"/>
      <c r="G14" s="452"/>
      <c r="H14" s="452"/>
    </row>
    <row r="15" spans="4:8" ht="19.5" customHeight="1" x14ac:dyDescent="0.25">
      <c r="D15" s="12" t="s">
        <v>105</v>
      </c>
      <c r="E15" s="452" t="s">
        <v>106</v>
      </c>
      <c r="F15" s="452"/>
      <c r="G15" s="452"/>
      <c r="H15" s="452"/>
    </row>
    <row r="16" spans="4:8" ht="19.5" customHeight="1" x14ac:dyDescent="0.25">
      <c r="D16" s="12" t="s">
        <v>107</v>
      </c>
      <c r="E16" s="452" t="s">
        <v>108</v>
      </c>
      <c r="F16" s="452"/>
      <c r="G16" s="452"/>
      <c r="H16" s="452"/>
    </row>
    <row r="17" spans="4:8" s="86" customFormat="1" x14ac:dyDescent="0.25"/>
    <row r="18" spans="4:8" ht="19.5" customHeight="1" x14ac:dyDescent="0.25">
      <c r="D18" s="451" t="s">
        <v>109</v>
      </c>
      <c r="E18" s="451"/>
      <c r="F18" s="451"/>
      <c r="G18" s="451"/>
      <c r="H18" s="451"/>
    </row>
    <row r="19" spans="4:8" ht="19.5" customHeight="1" x14ac:dyDescent="0.25">
      <c r="D19" s="12" t="s">
        <v>110</v>
      </c>
      <c r="E19" s="355">
        <v>3.72</v>
      </c>
      <c r="F19" s="449" t="s">
        <v>111</v>
      </c>
      <c r="G19" s="449"/>
      <c r="H19" s="449"/>
    </row>
    <row r="20" spans="4:8" ht="19.5" customHeight="1" x14ac:dyDescent="0.25">
      <c r="D20" s="12" t="s">
        <v>112</v>
      </c>
      <c r="E20" s="356">
        <v>0.06</v>
      </c>
      <c r="F20" s="449" t="s">
        <v>113</v>
      </c>
      <c r="G20" s="449"/>
      <c r="H20" s="449"/>
    </row>
    <row r="21" spans="4:8" ht="19.5" customHeight="1" x14ac:dyDescent="0.25">
      <c r="D21" s="12" t="s">
        <v>114</v>
      </c>
      <c r="E21" s="356">
        <v>0.16</v>
      </c>
      <c r="F21" s="449" t="s">
        <v>115</v>
      </c>
      <c r="G21" s="449"/>
      <c r="H21" s="449"/>
    </row>
    <row r="22" spans="4:8" ht="19.5" customHeight="1" x14ac:dyDescent="0.25">
      <c r="D22" s="12" t="s">
        <v>116</v>
      </c>
      <c r="E22" s="356">
        <v>0.02</v>
      </c>
      <c r="F22" s="449" t="s">
        <v>117</v>
      </c>
      <c r="G22" s="449"/>
      <c r="H22" s="449"/>
    </row>
    <row r="23" spans="4:8" ht="19.5" customHeight="1" x14ac:dyDescent="0.25">
      <c r="D23" s="12" t="s">
        <v>118</v>
      </c>
      <c r="E23" s="356">
        <v>3.5000000000000003E-2</v>
      </c>
      <c r="F23" s="449" t="s">
        <v>119</v>
      </c>
      <c r="G23" s="449"/>
      <c r="H23" s="449"/>
    </row>
    <row r="24" spans="4:8" ht="19.5" customHeight="1" x14ac:dyDescent="0.25">
      <c r="D24" s="12" t="s">
        <v>120</v>
      </c>
      <c r="E24" s="354">
        <v>0</v>
      </c>
      <c r="F24" s="449" t="s">
        <v>121</v>
      </c>
      <c r="G24" s="449"/>
      <c r="H24" s="449"/>
    </row>
    <row r="25" spans="4:8" ht="19.5" customHeight="1" x14ac:dyDescent="0.25">
      <c r="D25" s="12" t="s">
        <v>122</v>
      </c>
      <c r="E25" s="354">
        <v>0</v>
      </c>
      <c r="F25" s="449" t="s">
        <v>123</v>
      </c>
      <c r="G25" s="449"/>
      <c r="H25" s="449"/>
    </row>
    <row r="26" spans="4:8" ht="19.5" customHeight="1" x14ac:dyDescent="0.25">
      <c r="D26" s="12" t="s">
        <v>124</v>
      </c>
      <c r="E26" s="354">
        <v>0</v>
      </c>
      <c r="F26" s="449" t="s">
        <v>125</v>
      </c>
      <c r="G26" s="449"/>
      <c r="H26" s="449"/>
    </row>
    <row r="27" spans="4:8" ht="19.5" customHeight="1" x14ac:dyDescent="0.25">
      <c r="D27" s="12" t="s">
        <v>126</v>
      </c>
      <c r="E27" s="356">
        <v>0.01</v>
      </c>
      <c r="F27" s="449" t="s">
        <v>127</v>
      </c>
      <c r="G27" s="449"/>
      <c r="H27" s="449"/>
    </row>
    <row r="28" spans="4:8" ht="19.5" customHeight="1" x14ac:dyDescent="0.25">
      <c r="D28" s="12" t="s">
        <v>128</v>
      </c>
      <c r="E28" s="356">
        <v>0.18</v>
      </c>
      <c r="F28" s="449" t="s">
        <v>129</v>
      </c>
      <c r="G28" s="449"/>
      <c r="H28" s="449"/>
    </row>
    <row r="29" spans="4:8" s="86" customFormat="1" x14ac:dyDescent="0.25"/>
    <row r="30" spans="4:8" ht="18" customHeight="1" x14ac:dyDescent="0.25">
      <c r="D30" s="450" t="s">
        <v>130</v>
      </c>
      <c r="E30" s="450"/>
      <c r="F30" s="450"/>
      <c r="G30" s="450"/>
      <c r="H30" s="450"/>
    </row>
    <row r="31" spans="4:8" s="87" customFormat="1" x14ac:dyDescent="0.25"/>
    <row r="32" spans="4:8" s="87" customFormat="1" x14ac:dyDescent="0.25"/>
    <row r="33" s="87" customFormat="1" x14ac:dyDescent="0.25"/>
    <row r="34" s="87" customFormat="1" x14ac:dyDescent="0.25"/>
    <row r="35" s="87" customFormat="1" x14ac:dyDescent="0.25"/>
    <row r="36" s="87" customFormat="1" x14ac:dyDescent="0.25"/>
    <row r="37" s="87" customFormat="1" x14ac:dyDescent="0.25"/>
    <row r="38" s="87" customFormat="1" x14ac:dyDescent="0.25"/>
    <row r="39" s="87" customFormat="1" x14ac:dyDescent="0.25"/>
    <row r="40" s="87" customFormat="1" x14ac:dyDescent="0.25"/>
    <row r="41" s="87" customFormat="1" x14ac:dyDescent="0.25"/>
    <row r="42" s="87" customFormat="1" x14ac:dyDescent="0.25"/>
    <row r="43" s="87" customFormat="1" x14ac:dyDescent="0.25"/>
    <row r="44" s="87" customFormat="1" x14ac:dyDescent="0.25"/>
    <row r="45" s="87" customFormat="1" x14ac:dyDescent="0.25"/>
    <row r="46" s="87" customFormat="1" x14ac:dyDescent="0.25"/>
    <row r="47" s="87" customFormat="1" x14ac:dyDescent="0.25"/>
    <row r="48" s="87" customFormat="1" x14ac:dyDescent="0.25"/>
    <row r="49" s="87" customFormat="1" x14ac:dyDescent="0.25"/>
    <row r="50" s="87" customFormat="1" x14ac:dyDescent="0.25"/>
    <row r="51" s="87" customFormat="1" x14ac:dyDescent="0.25"/>
    <row r="52" s="87" customFormat="1" x14ac:dyDescent="0.25"/>
    <row r="53" s="87" customFormat="1" x14ac:dyDescent="0.25"/>
    <row r="54" s="87" customFormat="1" x14ac:dyDescent="0.25"/>
    <row r="55" s="87" customFormat="1" x14ac:dyDescent="0.25"/>
    <row r="56" s="87" customFormat="1" x14ac:dyDescent="0.25"/>
    <row r="57" s="87" customFormat="1" x14ac:dyDescent="0.25"/>
    <row r="58" s="87" customFormat="1" x14ac:dyDescent="0.25"/>
    <row r="59" s="87" customFormat="1" x14ac:dyDescent="0.25"/>
    <row r="60" s="87" customFormat="1" x14ac:dyDescent="0.25"/>
    <row r="61" s="87" customFormat="1" x14ac:dyDescent="0.25"/>
    <row r="62" s="87" customFormat="1" x14ac:dyDescent="0.25"/>
    <row r="63" s="87" customFormat="1" x14ac:dyDescent="0.25"/>
    <row r="64" s="87" customFormat="1" x14ac:dyDescent="0.25"/>
    <row r="65" s="87" customFormat="1" x14ac:dyDescent="0.25"/>
    <row r="66" s="87" customFormat="1" x14ac:dyDescent="0.25"/>
    <row r="67" s="87" customFormat="1" x14ac:dyDescent="0.25"/>
    <row r="68" s="87" customFormat="1" x14ac:dyDescent="0.25"/>
    <row r="69" s="87" customFormat="1" x14ac:dyDescent="0.25"/>
    <row r="70" s="87" customFormat="1" x14ac:dyDescent="0.25"/>
    <row r="71" s="87" customFormat="1" x14ac:dyDescent="0.25"/>
    <row r="72" s="87" customFormat="1" x14ac:dyDescent="0.25"/>
    <row r="73" s="87" customFormat="1" x14ac:dyDescent="0.25"/>
    <row r="74" s="87" customFormat="1" x14ac:dyDescent="0.25"/>
    <row r="75" s="87" customFormat="1" x14ac:dyDescent="0.25"/>
    <row r="76" s="87" customFormat="1" x14ac:dyDescent="0.25"/>
    <row r="77" s="87" customFormat="1" x14ac:dyDescent="0.25"/>
    <row r="78" s="87" customFormat="1" x14ac:dyDescent="0.25"/>
    <row r="79" s="87" customFormat="1" x14ac:dyDescent="0.25"/>
    <row r="80" s="87" customFormat="1" x14ac:dyDescent="0.25"/>
    <row r="81" s="87" customFormat="1" x14ac:dyDescent="0.25"/>
    <row r="82" s="87" customFormat="1" x14ac:dyDescent="0.25"/>
    <row r="83" s="87" customFormat="1" x14ac:dyDescent="0.25"/>
    <row r="84" s="87" customFormat="1" x14ac:dyDescent="0.25"/>
    <row r="85" s="87" customFormat="1" x14ac:dyDescent="0.25"/>
    <row r="86" s="87" customFormat="1" x14ac:dyDescent="0.25"/>
    <row r="87" s="87" customFormat="1" x14ac:dyDescent="0.25"/>
    <row r="88" s="87" customFormat="1" x14ac:dyDescent="0.25"/>
    <row r="89" s="87" customFormat="1" x14ac:dyDescent="0.25"/>
    <row r="90" s="87" customFormat="1" x14ac:dyDescent="0.25"/>
    <row r="91" s="87" customFormat="1" x14ac:dyDescent="0.25"/>
    <row r="92" s="87" customFormat="1" x14ac:dyDescent="0.25"/>
    <row r="93" s="87" customFormat="1" x14ac:dyDescent="0.25"/>
    <row r="94" s="87" customFormat="1" x14ac:dyDescent="0.25"/>
    <row r="95" s="87" customFormat="1" x14ac:dyDescent="0.25"/>
    <row r="96" s="87" customFormat="1" x14ac:dyDescent="0.25"/>
    <row r="97" s="87" customFormat="1" x14ac:dyDescent="0.25"/>
    <row r="98" s="87" customFormat="1" x14ac:dyDescent="0.25"/>
    <row r="99" s="87" customFormat="1" x14ac:dyDescent="0.25"/>
    <row r="100" s="87" customFormat="1" x14ac:dyDescent="0.25"/>
    <row r="101" s="87" customFormat="1" x14ac:dyDescent="0.25"/>
    <row r="102" s="87" customFormat="1" x14ac:dyDescent="0.25"/>
    <row r="103" s="87" customFormat="1" x14ac:dyDescent="0.25"/>
    <row r="104" s="87" customFormat="1" x14ac:dyDescent="0.25"/>
    <row r="105" s="87" customFormat="1" x14ac:dyDescent="0.25"/>
    <row r="106" s="87" customFormat="1" x14ac:dyDescent="0.25"/>
    <row r="107" s="87" customFormat="1" x14ac:dyDescent="0.25"/>
    <row r="108" s="87" customFormat="1" x14ac:dyDescent="0.25"/>
    <row r="109" s="87" customFormat="1" x14ac:dyDescent="0.25"/>
    <row r="110" s="87" customFormat="1" x14ac:dyDescent="0.25"/>
    <row r="111" s="87" customFormat="1" x14ac:dyDescent="0.25"/>
    <row r="112" s="87" customFormat="1" x14ac:dyDescent="0.25"/>
    <row r="113" s="87" customFormat="1" x14ac:dyDescent="0.25"/>
    <row r="114" s="87" customFormat="1" x14ac:dyDescent="0.25"/>
    <row r="115" s="87" customFormat="1" x14ac:dyDescent="0.25"/>
    <row r="116" s="87" customFormat="1" x14ac:dyDescent="0.25"/>
    <row r="117" s="87" customFormat="1" x14ac:dyDescent="0.25"/>
    <row r="118" s="87" customFormat="1" x14ac:dyDescent="0.25"/>
    <row r="119" s="87" customFormat="1" x14ac:dyDescent="0.25"/>
    <row r="120" s="87" customFormat="1" x14ac:dyDescent="0.25"/>
    <row r="121" s="87" customFormat="1" x14ac:dyDescent="0.25"/>
    <row r="122" s="87" customFormat="1" x14ac:dyDescent="0.25"/>
    <row r="123" s="87" customFormat="1" x14ac:dyDescent="0.25"/>
    <row r="124" s="87" customFormat="1" x14ac:dyDescent="0.25"/>
    <row r="125" s="87" customFormat="1" x14ac:dyDescent="0.25"/>
    <row r="126" s="87" customFormat="1" x14ac:dyDescent="0.25"/>
    <row r="127" s="87" customFormat="1" x14ac:dyDescent="0.25"/>
    <row r="128" s="87" customFormat="1" x14ac:dyDescent="0.25"/>
    <row r="129" s="87" customFormat="1" x14ac:dyDescent="0.25"/>
    <row r="130" s="87" customFormat="1" x14ac:dyDescent="0.25"/>
    <row r="131" s="87" customFormat="1" x14ac:dyDescent="0.25"/>
    <row r="132" s="87" customFormat="1" x14ac:dyDescent="0.25"/>
    <row r="133" s="87" customFormat="1" x14ac:dyDescent="0.25"/>
    <row r="134" s="87" customFormat="1" x14ac:dyDescent="0.25"/>
    <row r="135" s="87" customFormat="1" x14ac:dyDescent="0.25"/>
    <row r="136" s="87" customFormat="1" x14ac:dyDescent="0.25"/>
    <row r="137" s="87" customFormat="1" x14ac:dyDescent="0.25"/>
    <row r="138" s="87" customFormat="1" x14ac:dyDescent="0.25"/>
    <row r="139" s="87" customFormat="1" x14ac:dyDescent="0.25"/>
    <row r="140" s="87" customFormat="1" x14ac:dyDescent="0.25"/>
    <row r="141" s="87" customFormat="1" x14ac:dyDescent="0.25"/>
    <row r="142" s="87" customFormat="1" x14ac:dyDescent="0.25"/>
    <row r="143" s="87" customFormat="1" x14ac:dyDescent="0.25"/>
    <row r="144" s="87" customFormat="1" x14ac:dyDescent="0.25"/>
    <row r="145" s="87" customFormat="1" x14ac:dyDescent="0.25"/>
    <row r="146" s="87" customFormat="1" x14ac:dyDescent="0.25"/>
    <row r="147" s="87" customFormat="1" x14ac:dyDescent="0.25"/>
    <row r="148" s="87" customFormat="1" x14ac:dyDescent="0.25"/>
    <row r="149" s="87" customFormat="1" x14ac:dyDescent="0.25"/>
    <row r="150" s="87" customFormat="1" x14ac:dyDescent="0.25"/>
    <row r="151" s="87" customFormat="1" x14ac:dyDescent="0.25"/>
    <row r="152" s="87" customFormat="1" x14ac:dyDescent="0.25"/>
    <row r="153" s="87" customFormat="1" x14ac:dyDescent="0.25"/>
    <row r="154" s="87" customFormat="1" x14ac:dyDescent="0.25"/>
    <row r="155" s="87" customFormat="1" x14ac:dyDescent="0.25"/>
    <row r="156" s="87" customFormat="1" x14ac:dyDescent="0.25"/>
    <row r="157" s="87" customFormat="1" x14ac:dyDescent="0.25"/>
    <row r="158" s="87" customFormat="1" x14ac:dyDescent="0.25"/>
    <row r="159" s="87" customFormat="1" x14ac:dyDescent="0.25"/>
    <row r="160" s="87" customFormat="1" x14ac:dyDescent="0.25"/>
    <row r="161" s="87" customFormat="1" x14ac:dyDescent="0.25"/>
    <row r="162" s="87" customFormat="1" x14ac:dyDescent="0.25"/>
    <row r="163" s="87" customFormat="1" x14ac:dyDescent="0.25"/>
    <row r="164" s="87" customFormat="1" x14ac:dyDescent="0.25"/>
    <row r="165" s="87" customFormat="1" x14ac:dyDescent="0.25"/>
    <row r="166" s="87" customFormat="1" x14ac:dyDescent="0.25"/>
    <row r="167" s="87" customFormat="1" x14ac:dyDescent="0.25"/>
    <row r="168" s="87" customFormat="1" x14ac:dyDescent="0.25"/>
    <row r="169" s="87" customFormat="1" x14ac:dyDescent="0.25"/>
    <row r="170" s="87" customFormat="1" x14ac:dyDescent="0.25"/>
    <row r="171" s="87" customFormat="1" x14ac:dyDescent="0.25"/>
    <row r="172" s="87" customFormat="1" x14ac:dyDescent="0.25"/>
    <row r="173" s="87" customFormat="1" x14ac:dyDescent="0.25"/>
    <row r="174" s="87" customFormat="1" x14ac:dyDescent="0.25"/>
    <row r="175" s="87" customFormat="1" x14ac:dyDescent="0.25"/>
    <row r="176" s="87" customFormat="1" x14ac:dyDescent="0.25"/>
    <row r="177" s="87" customFormat="1" x14ac:dyDescent="0.25"/>
    <row r="178" s="87" customFormat="1" x14ac:dyDescent="0.25"/>
    <row r="179" s="87" customFormat="1" x14ac:dyDescent="0.25"/>
    <row r="180" s="87" customFormat="1" x14ac:dyDescent="0.25"/>
    <row r="181" s="87" customFormat="1" x14ac:dyDescent="0.25"/>
    <row r="182" s="87" customFormat="1" x14ac:dyDescent="0.25"/>
    <row r="183" s="87" customFormat="1" x14ac:dyDescent="0.25"/>
    <row r="184" s="87" customFormat="1" x14ac:dyDescent="0.25"/>
    <row r="185" s="87" customFormat="1" x14ac:dyDescent="0.25"/>
    <row r="186" s="87" customFormat="1" x14ac:dyDescent="0.25"/>
    <row r="187" s="87" customFormat="1" x14ac:dyDescent="0.25"/>
    <row r="188" s="87" customFormat="1" x14ac:dyDescent="0.25"/>
    <row r="189" s="87" customFormat="1" x14ac:dyDescent="0.25"/>
    <row r="190" s="87" customFormat="1" x14ac:dyDescent="0.25"/>
    <row r="191" s="87" customFormat="1" x14ac:dyDescent="0.25"/>
    <row r="192" s="87" customFormat="1" x14ac:dyDescent="0.25"/>
    <row r="193" s="87" customFormat="1" x14ac:dyDescent="0.25"/>
    <row r="194" s="87" customFormat="1" x14ac:dyDescent="0.25"/>
    <row r="195" s="87" customFormat="1" x14ac:dyDescent="0.25"/>
    <row r="196" s="87" customFormat="1" x14ac:dyDescent="0.25"/>
    <row r="197" s="87" customFormat="1" x14ac:dyDescent="0.25"/>
    <row r="198" s="87" customFormat="1" x14ac:dyDescent="0.25"/>
    <row r="199" s="87" customFormat="1" x14ac:dyDescent="0.25"/>
    <row r="200" s="87" customFormat="1" x14ac:dyDescent="0.25"/>
    <row r="201" s="87" customFormat="1" x14ac:dyDescent="0.25"/>
    <row r="202" s="87" customFormat="1" x14ac:dyDescent="0.25"/>
    <row r="203" s="87" customFormat="1" x14ac:dyDescent="0.25"/>
    <row r="204" s="87" customFormat="1" x14ac:dyDescent="0.25"/>
    <row r="205" s="87" customFormat="1" x14ac:dyDescent="0.25"/>
    <row r="206" s="87" customFormat="1" x14ac:dyDescent="0.25"/>
    <row r="207" s="87" customFormat="1" x14ac:dyDescent="0.25"/>
    <row r="208" s="87" customFormat="1" x14ac:dyDescent="0.25"/>
    <row r="209" s="87" customFormat="1" x14ac:dyDescent="0.25"/>
    <row r="210" s="87" customFormat="1" x14ac:dyDescent="0.25"/>
    <row r="211" s="87" customFormat="1" x14ac:dyDescent="0.25"/>
    <row r="212" s="87" customFormat="1" x14ac:dyDescent="0.25"/>
    <row r="213" s="87" customFormat="1" x14ac:dyDescent="0.25"/>
    <row r="214" s="87" customFormat="1" x14ac:dyDescent="0.25"/>
    <row r="215" s="87" customFormat="1" x14ac:dyDescent="0.25"/>
    <row r="216" s="87" customFormat="1" x14ac:dyDescent="0.25"/>
    <row r="217" s="87" customFormat="1" x14ac:dyDescent="0.25"/>
    <row r="218" s="87" customFormat="1" x14ac:dyDescent="0.25"/>
    <row r="219" s="87" customFormat="1" x14ac:dyDescent="0.25"/>
    <row r="220" s="87" customFormat="1" x14ac:dyDescent="0.25"/>
    <row r="221" s="87" customFormat="1" x14ac:dyDescent="0.25"/>
    <row r="222" s="87" customFormat="1" x14ac:dyDescent="0.25"/>
    <row r="223" s="87" customFormat="1" x14ac:dyDescent="0.25"/>
    <row r="224" s="87" customFormat="1" x14ac:dyDescent="0.25"/>
    <row r="225" s="87" customFormat="1" x14ac:dyDescent="0.25"/>
    <row r="226" s="87" customFormat="1" x14ac:dyDescent="0.25"/>
    <row r="227" s="87" customFormat="1" x14ac:dyDescent="0.25"/>
    <row r="228" s="87" customFormat="1" x14ac:dyDescent="0.25"/>
    <row r="229" s="87" customFormat="1" x14ac:dyDescent="0.25"/>
    <row r="230" s="87" customFormat="1" x14ac:dyDescent="0.25"/>
    <row r="231" s="87" customFormat="1" x14ac:dyDescent="0.25"/>
    <row r="232" s="87" customFormat="1" x14ac:dyDescent="0.25"/>
    <row r="233" s="87" customFormat="1" x14ac:dyDescent="0.25"/>
    <row r="234" s="87" customFormat="1" x14ac:dyDescent="0.25"/>
    <row r="235" s="87" customFormat="1" x14ac:dyDescent="0.25"/>
    <row r="236" s="87" customFormat="1" x14ac:dyDescent="0.25"/>
    <row r="237" s="87" customFormat="1" x14ac:dyDescent="0.25"/>
    <row r="238" s="87" customFormat="1" x14ac:dyDescent="0.25"/>
    <row r="239" s="87" customFormat="1" x14ac:dyDescent="0.25"/>
    <row r="240" s="87" customFormat="1" x14ac:dyDescent="0.25"/>
    <row r="241" s="87" customFormat="1" x14ac:dyDescent="0.25"/>
    <row r="242" s="87" customFormat="1" x14ac:dyDescent="0.25"/>
    <row r="243" s="87" customFormat="1" x14ac:dyDescent="0.25"/>
    <row r="244" s="87" customFormat="1" x14ac:dyDescent="0.25"/>
    <row r="245" s="87" customFormat="1" x14ac:dyDescent="0.25"/>
    <row r="246" s="87" customFormat="1" x14ac:dyDescent="0.25"/>
    <row r="247" s="87" customFormat="1" x14ac:dyDescent="0.25"/>
    <row r="248" s="87" customFormat="1" x14ac:dyDescent="0.25"/>
    <row r="249" s="87" customFormat="1" x14ac:dyDescent="0.25"/>
    <row r="250" s="87" customFormat="1" x14ac:dyDescent="0.25"/>
    <row r="251" s="87" customFormat="1" x14ac:dyDescent="0.25"/>
    <row r="252" s="87" customFormat="1" x14ac:dyDescent="0.25"/>
    <row r="253" s="87" customFormat="1" x14ac:dyDescent="0.25"/>
    <row r="254" s="87" customFormat="1" x14ac:dyDescent="0.25"/>
    <row r="255" s="87" customFormat="1" x14ac:dyDescent="0.25"/>
    <row r="256" s="87" customFormat="1" x14ac:dyDescent="0.25"/>
    <row r="257" s="87" customFormat="1" x14ac:dyDescent="0.25"/>
    <row r="258" s="87" customFormat="1" x14ac:dyDescent="0.25"/>
    <row r="259" s="87" customFormat="1" x14ac:dyDescent="0.25"/>
    <row r="260" s="87" customFormat="1" x14ac:dyDescent="0.25"/>
    <row r="261" s="87" customFormat="1" x14ac:dyDescent="0.25"/>
    <row r="262" s="87" customFormat="1" x14ac:dyDescent="0.25"/>
    <row r="263" s="87" customFormat="1" x14ac:dyDescent="0.25"/>
    <row r="264" s="87" customFormat="1" x14ac:dyDescent="0.25"/>
    <row r="265" s="87" customFormat="1" x14ac:dyDescent="0.25"/>
    <row r="266" s="87" customFormat="1" x14ac:dyDescent="0.25"/>
    <row r="267" s="87" customFormat="1" x14ac:dyDescent="0.25"/>
    <row r="268" s="87" customFormat="1" x14ac:dyDescent="0.25"/>
    <row r="269" s="87" customFormat="1" x14ac:dyDescent="0.25"/>
    <row r="270" s="87" customFormat="1" x14ac:dyDescent="0.25"/>
    <row r="271" s="87" customFormat="1" x14ac:dyDescent="0.25"/>
    <row r="272" s="87" customFormat="1" x14ac:dyDescent="0.25"/>
    <row r="273" s="87" customFormat="1" x14ac:dyDescent="0.25"/>
    <row r="274" s="87" customFormat="1" x14ac:dyDescent="0.25"/>
    <row r="275" s="87" customFormat="1" x14ac:dyDescent="0.25"/>
    <row r="276" s="87" customFormat="1" x14ac:dyDescent="0.25"/>
    <row r="277" s="87" customFormat="1" x14ac:dyDescent="0.25"/>
    <row r="278" s="87" customFormat="1" x14ac:dyDescent="0.25"/>
    <row r="279" s="87" customFormat="1" x14ac:dyDescent="0.25"/>
    <row r="280" s="87" customFormat="1" x14ac:dyDescent="0.25"/>
    <row r="281" s="87" customFormat="1" x14ac:dyDescent="0.25"/>
    <row r="282" s="87" customFormat="1" x14ac:dyDescent="0.25"/>
    <row r="283" s="87" customFormat="1" x14ac:dyDescent="0.25"/>
    <row r="284" s="87" customFormat="1" x14ac:dyDescent="0.25"/>
    <row r="285" s="87" customFormat="1" x14ac:dyDescent="0.25"/>
    <row r="286" s="87" customFormat="1" x14ac:dyDescent="0.25"/>
    <row r="287" s="87" customFormat="1" x14ac:dyDescent="0.25"/>
    <row r="288" s="87" customFormat="1" x14ac:dyDescent="0.25"/>
    <row r="289" s="87" customFormat="1" x14ac:dyDescent="0.25"/>
    <row r="290" s="87" customFormat="1" x14ac:dyDescent="0.25"/>
    <row r="291" s="87" customFormat="1" x14ac:dyDescent="0.25"/>
    <row r="292" s="87" customFormat="1" x14ac:dyDescent="0.25"/>
    <row r="293" s="87" customFormat="1" x14ac:dyDescent="0.25"/>
    <row r="294" s="87" customFormat="1" x14ac:dyDescent="0.25"/>
    <row r="295" s="87" customFormat="1" x14ac:dyDescent="0.25"/>
    <row r="296" s="87" customFormat="1" x14ac:dyDescent="0.25"/>
    <row r="297" s="87" customFormat="1" x14ac:dyDescent="0.25"/>
    <row r="298" s="87" customFormat="1" x14ac:dyDescent="0.25"/>
    <row r="299" s="87" customFormat="1" x14ac:dyDescent="0.25"/>
    <row r="300" s="87" customFormat="1" x14ac:dyDescent="0.25"/>
    <row r="301" s="87" customFormat="1" x14ac:dyDescent="0.25"/>
    <row r="302" s="87" customFormat="1" x14ac:dyDescent="0.25"/>
    <row r="303" s="87" customFormat="1" x14ac:dyDescent="0.25"/>
    <row r="304" s="87" customFormat="1" x14ac:dyDescent="0.25"/>
    <row r="305" s="87" customFormat="1" x14ac:dyDescent="0.25"/>
    <row r="306" s="87" customFormat="1" x14ac:dyDescent="0.25"/>
    <row r="307" s="87" customFormat="1" x14ac:dyDescent="0.25"/>
    <row r="308" s="87" customFormat="1" x14ac:dyDescent="0.25"/>
    <row r="309" s="87" customFormat="1" x14ac:dyDescent="0.25"/>
    <row r="310" s="87" customFormat="1" x14ac:dyDescent="0.25"/>
    <row r="311" s="87" customFormat="1" x14ac:dyDescent="0.25"/>
    <row r="312" s="87" customFormat="1" x14ac:dyDescent="0.25"/>
    <row r="313" s="87" customFormat="1" x14ac:dyDescent="0.25"/>
    <row r="314" s="87" customFormat="1" x14ac:dyDescent="0.25"/>
    <row r="315" s="87" customFormat="1" x14ac:dyDescent="0.25"/>
    <row r="316" s="87" customFormat="1" x14ac:dyDescent="0.25"/>
    <row r="317" s="87" customFormat="1" x14ac:dyDescent="0.25"/>
    <row r="318" s="87" customFormat="1" x14ac:dyDescent="0.25"/>
    <row r="319" s="87" customFormat="1" x14ac:dyDescent="0.25"/>
    <row r="320" s="87" customFormat="1" x14ac:dyDescent="0.25"/>
    <row r="321" s="87" customFormat="1" x14ac:dyDescent="0.25"/>
    <row r="322" s="87" customFormat="1" x14ac:dyDescent="0.25"/>
    <row r="323" s="87" customFormat="1" x14ac:dyDescent="0.25"/>
    <row r="324" s="87" customFormat="1" x14ac:dyDescent="0.25"/>
    <row r="325" s="87" customFormat="1" x14ac:dyDescent="0.25"/>
    <row r="326" s="87" customFormat="1" x14ac:dyDescent="0.25"/>
    <row r="327" s="87" customFormat="1" x14ac:dyDescent="0.25"/>
    <row r="328" s="87" customFormat="1" x14ac:dyDescent="0.25"/>
    <row r="329" s="87" customFormat="1" x14ac:dyDescent="0.25"/>
    <row r="330" s="87" customFormat="1" x14ac:dyDescent="0.25"/>
    <row r="331" s="87" customFormat="1" x14ac:dyDescent="0.25"/>
    <row r="332" s="87" customFormat="1" x14ac:dyDescent="0.25"/>
    <row r="333" s="87" customFormat="1" x14ac:dyDescent="0.25"/>
    <row r="334" s="87" customFormat="1" x14ac:dyDescent="0.25"/>
    <row r="335" s="87" customFormat="1" x14ac:dyDescent="0.25"/>
    <row r="336" s="87" customFormat="1" x14ac:dyDescent="0.25"/>
    <row r="337" s="87" customFormat="1" x14ac:dyDescent="0.25"/>
    <row r="338" s="87" customFormat="1" x14ac:dyDescent="0.25"/>
    <row r="339" s="87" customFormat="1" x14ac:dyDescent="0.25"/>
    <row r="340" s="87" customFormat="1" x14ac:dyDescent="0.25"/>
    <row r="341" s="87" customFormat="1" x14ac:dyDescent="0.25"/>
    <row r="342" s="87" customFormat="1" x14ac:dyDescent="0.25"/>
    <row r="343" s="87" customFormat="1" x14ac:dyDescent="0.25"/>
    <row r="344" s="87" customFormat="1" x14ac:dyDescent="0.25"/>
    <row r="345" s="87" customFormat="1" x14ac:dyDescent="0.25"/>
    <row r="346" s="87" customFormat="1" x14ac:dyDescent="0.25"/>
    <row r="347" s="87" customFormat="1" x14ac:dyDescent="0.25"/>
    <row r="348" s="87" customFormat="1" x14ac:dyDescent="0.25"/>
    <row r="349" s="87" customFormat="1" x14ac:dyDescent="0.25"/>
    <row r="350" s="87" customFormat="1" x14ac:dyDescent="0.25"/>
    <row r="351" s="87" customFormat="1" x14ac:dyDescent="0.25"/>
    <row r="352" s="87" customFormat="1" x14ac:dyDescent="0.25"/>
    <row r="353" s="87" customFormat="1" x14ac:dyDescent="0.25"/>
    <row r="354" s="87" customFormat="1" x14ac:dyDescent="0.25"/>
    <row r="355" s="87" customFormat="1" x14ac:dyDescent="0.25"/>
    <row r="356" s="87" customFormat="1" x14ac:dyDescent="0.25"/>
    <row r="357" s="87" customFormat="1" x14ac:dyDescent="0.25"/>
    <row r="358" s="87" customFormat="1" x14ac:dyDescent="0.25"/>
    <row r="359" s="87" customFormat="1" x14ac:dyDescent="0.25"/>
    <row r="360" s="87" customFormat="1" x14ac:dyDescent="0.25"/>
    <row r="361" s="87" customFormat="1" x14ac:dyDescent="0.25"/>
    <row r="362" s="87" customFormat="1" x14ac:dyDescent="0.25"/>
    <row r="363" s="87" customFormat="1" x14ac:dyDescent="0.25"/>
    <row r="364" s="87" customFormat="1" x14ac:dyDescent="0.25"/>
    <row r="365" s="87" customFormat="1" x14ac:dyDescent="0.25"/>
    <row r="366" s="87" customFormat="1" x14ac:dyDescent="0.25"/>
    <row r="367" s="87" customFormat="1" x14ac:dyDescent="0.25"/>
    <row r="368" s="87" customFormat="1" x14ac:dyDescent="0.25"/>
    <row r="369" s="87" customFormat="1" x14ac:dyDescent="0.25"/>
    <row r="370" s="87" customFormat="1" x14ac:dyDescent="0.25"/>
    <row r="371" s="87" customFormat="1" x14ac:dyDescent="0.25"/>
    <row r="372" s="87" customFormat="1" x14ac:dyDescent="0.25"/>
    <row r="373" s="87" customFormat="1" x14ac:dyDescent="0.25"/>
    <row r="374" s="87" customFormat="1" x14ac:dyDescent="0.25"/>
    <row r="375" s="87" customFormat="1" x14ac:dyDescent="0.25"/>
    <row r="376" s="87" customFormat="1" x14ac:dyDescent="0.25"/>
    <row r="377" s="87" customFormat="1" x14ac:dyDescent="0.25"/>
    <row r="378" s="87" customFormat="1" x14ac:dyDescent="0.25"/>
    <row r="379" s="87" customFormat="1" x14ac:dyDescent="0.25"/>
    <row r="380" s="87" customFormat="1" x14ac:dyDescent="0.25"/>
    <row r="381" s="87" customFormat="1" x14ac:dyDescent="0.25"/>
    <row r="382" s="87" customFormat="1" x14ac:dyDescent="0.25"/>
    <row r="383" s="87" customFormat="1" x14ac:dyDescent="0.25"/>
    <row r="384" s="87" customFormat="1" x14ac:dyDescent="0.25"/>
    <row r="385" s="87" customFormat="1" x14ac:dyDescent="0.25"/>
    <row r="386" s="87" customFormat="1" x14ac:dyDescent="0.25"/>
    <row r="387" s="87" customFormat="1" x14ac:dyDescent="0.25"/>
    <row r="388" s="87" customFormat="1" x14ac:dyDescent="0.25"/>
    <row r="389" s="87" customFormat="1" x14ac:dyDescent="0.25"/>
    <row r="390" s="87" customFormat="1" x14ac:dyDescent="0.25"/>
    <row r="391" s="87" customFormat="1" x14ac:dyDescent="0.25"/>
    <row r="392" s="87" customFormat="1" x14ac:dyDescent="0.25"/>
    <row r="393" s="87" customFormat="1" x14ac:dyDescent="0.25"/>
    <row r="394" s="87" customFormat="1" x14ac:dyDescent="0.25"/>
    <row r="395" s="87" customFormat="1" x14ac:dyDescent="0.25"/>
    <row r="396" s="87" customFormat="1" x14ac:dyDescent="0.25"/>
    <row r="397" s="87" customFormat="1" x14ac:dyDescent="0.25"/>
    <row r="398" s="87" customFormat="1" x14ac:dyDescent="0.25"/>
    <row r="399" s="87" customFormat="1" x14ac:dyDescent="0.25"/>
    <row r="400" s="87" customFormat="1" x14ac:dyDescent="0.25"/>
    <row r="401" s="87" customFormat="1" x14ac:dyDescent="0.25"/>
    <row r="402" s="87" customFormat="1" x14ac:dyDescent="0.25"/>
    <row r="403" s="87" customFormat="1" x14ac:dyDescent="0.25"/>
    <row r="404" s="87" customFormat="1" x14ac:dyDescent="0.25"/>
    <row r="405" s="87" customFormat="1" x14ac:dyDescent="0.25"/>
    <row r="406" s="87" customFormat="1" x14ac:dyDescent="0.25"/>
    <row r="407" s="87" customFormat="1" x14ac:dyDescent="0.25"/>
    <row r="408" s="87" customFormat="1" x14ac:dyDescent="0.25"/>
    <row r="409" s="87" customFormat="1" x14ac:dyDescent="0.25"/>
    <row r="410" s="87" customFormat="1" x14ac:dyDescent="0.25"/>
    <row r="411" s="87" customFormat="1" x14ac:dyDescent="0.25"/>
    <row r="412" s="87" customFormat="1" x14ac:dyDescent="0.25"/>
    <row r="413" s="87" customFormat="1" x14ac:dyDescent="0.25"/>
    <row r="414" s="87" customFormat="1" x14ac:dyDescent="0.25"/>
    <row r="415" s="87" customFormat="1" x14ac:dyDescent="0.25"/>
    <row r="416" s="87" customFormat="1" x14ac:dyDescent="0.25"/>
    <row r="417" s="87" customFormat="1" x14ac:dyDescent="0.25"/>
    <row r="418" s="87" customFormat="1" x14ac:dyDescent="0.25"/>
    <row r="419" s="87" customFormat="1" x14ac:dyDescent="0.25"/>
    <row r="420" s="87" customFormat="1" x14ac:dyDescent="0.25"/>
    <row r="421" s="87" customFormat="1" x14ac:dyDescent="0.25"/>
    <row r="422" s="87" customFormat="1" x14ac:dyDescent="0.25"/>
    <row r="423" s="87" customFormat="1" x14ac:dyDescent="0.25"/>
    <row r="424" s="87" customFormat="1" x14ac:dyDescent="0.25"/>
    <row r="425" s="87" customFormat="1" x14ac:dyDescent="0.25"/>
    <row r="426" s="87" customFormat="1" x14ac:dyDescent="0.25"/>
    <row r="427" s="87" customFormat="1" x14ac:dyDescent="0.25"/>
    <row r="428" s="87" customFormat="1" x14ac:dyDescent="0.25"/>
    <row r="429" s="87" customFormat="1" x14ac:dyDescent="0.25"/>
    <row r="430" s="87" customFormat="1" x14ac:dyDescent="0.25"/>
    <row r="431" s="87" customFormat="1" x14ac:dyDescent="0.25"/>
    <row r="432" s="87" customFormat="1" x14ac:dyDescent="0.25"/>
    <row r="433" s="87" customFormat="1" x14ac:dyDescent="0.25"/>
    <row r="434" s="87" customFormat="1" x14ac:dyDescent="0.25"/>
    <row r="435" s="87" customFormat="1" x14ac:dyDescent="0.25"/>
    <row r="436" s="87" customFormat="1" x14ac:dyDescent="0.25"/>
    <row r="437" s="87" customFormat="1" x14ac:dyDescent="0.25"/>
    <row r="438" s="87" customFormat="1" x14ac:dyDescent="0.25"/>
    <row r="439" s="87" customFormat="1" x14ac:dyDescent="0.25"/>
    <row r="440" s="87" customFormat="1" x14ac:dyDescent="0.25"/>
    <row r="441" s="87" customFormat="1" x14ac:dyDescent="0.25"/>
    <row r="442" s="87" customFormat="1" x14ac:dyDescent="0.25"/>
    <row r="443" s="87" customFormat="1" x14ac:dyDescent="0.25"/>
    <row r="444" s="87" customFormat="1" x14ac:dyDescent="0.25"/>
    <row r="445" s="87" customFormat="1" x14ac:dyDescent="0.25"/>
    <row r="446" s="87" customFormat="1" x14ac:dyDescent="0.25"/>
    <row r="447" s="87" customFormat="1" x14ac:dyDescent="0.25"/>
    <row r="448" s="87" customFormat="1" x14ac:dyDescent="0.25"/>
    <row r="449" spans="4:8" s="87" customFormat="1" x14ac:dyDescent="0.25"/>
    <row r="450" spans="4:8" s="87" customFormat="1" x14ac:dyDescent="0.25"/>
    <row r="451" spans="4:8" s="87" customFormat="1" x14ac:dyDescent="0.25"/>
    <row r="452" spans="4:8" s="87" customFormat="1" x14ac:dyDescent="0.25"/>
    <row r="453" spans="4:8" s="87" customFormat="1" x14ac:dyDescent="0.25"/>
    <row r="454" spans="4:8" s="87" customFormat="1" x14ac:dyDescent="0.25"/>
    <row r="455" spans="4:8" s="87" customFormat="1" x14ac:dyDescent="0.25"/>
    <row r="456" spans="4:8" s="87" customFormat="1" x14ac:dyDescent="0.25"/>
    <row r="457" spans="4:8" s="87" customFormat="1" x14ac:dyDescent="0.25"/>
    <row r="458" spans="4:8" s="87" customFormat="1" x14ac:dyDescent="0.25"/>
    <row r="459" spans="4:8" x14ac:dyDescent="0.25">
      <c r="D459" s="85"/>
      <c r="E459" s="85"/>
      <c r="F459" s="85"/>
      <c r="G459" s="85"/>
      <c r="H459" s="85"/>
    </row>
  </sheetData>
  <mergeCells count="27">
    <mergeCell ref="D1:H1"/>
    <mergeCell ref="D2:H2"/>
    <mergeCell ref="D4:H4"/>
    <mergeCell ref="E5:H5"/>
    <mergeCell ref="E6:H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D18:H18"/>
    <mergeCell ref="F19:H19"/>
    <mergeCell ref="F20:H20"/>
    <mergeCell ref="F21:H21"/>
    <mergeCell ref="F22:H22"/>
    <mergeCell ref="F28:H28"/>
    <mergeCell ref="D30:H30"/>
    <mergeCell ref="F23:H23"/>
    <mergeCell ref="F24:H24"/>
    <mergeCell ref="F25:H25"/>
    <mergeCell ref="F26:H26"/>
    <mergeCell ref="F27:H27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B165"/>
  <sheetViews>
    <sheetView showGridLines="0" showRowColHeaders="0" zoomScale="85" zoomScaleNormal="85" workbookViewId="0">
      <selection activeCell="J13" sqref="J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1" width="1.28515625" style="93" customWidth="1"/>
    <col min="2" max="2" width="8.7109375" style="93"/>
    <col min="3" max="3" width="6.42578125" style="93" customWidth="1"/>
    <col min="4" max="4" width="6" customWidth="1"/>
    <col min="5" max="5" width="31.5703125" bestFit="1" customWidth="1"/>
    <col min="6" max="8" width="15.28515625" customWidth="1"/>
    <col min="9" max="9" width="17.5703125" bestFit="1" customWidth="1"/>
    <col min="10" max="10" width="17.28515625" bestFit="1" customWidth="1"/>
    <col min="11" max="12" width="15.28515625" customWidth="1"/>
    <col min="13" max="13" width="6.42578125" style="93" customWidth="1"/>
    <col min="14" max="28" width="8.7109375" style="93"/>
  </cols>
  <sheetData>
    <row r="1" spans="4:12" s="93" customFormat="1" x14ac:dyDescent="0.25"/>
    <row r="2" spans="4:12" ht="39.75" customHeight="1" thickBot="1" x14ac:dyDescent="0.3">
      <c r="D2" s="458" t="s">
        <v>131</v>
      </c>
      <c r="E2" s="458"/>
      <c r="F2" s="458"/>
      <c r="G2" s="458"/>
      <c r="H2" s="458"/>
      <c r="I2" s="458"/>
      <c r="J2" s="458"/>
      <c r="K2" s="458"/>
      <c r="L2" s="459"/>
    </row>
    <row r="3" spans="4:12" ht="15.75" customHeight="1" thickTop="1" x14ac:dyDescent="0.25">
      <c r="D3" s="457" t="s">
        <v>132</v>
      </c>
      <c r="E3" s="457"/>
      <c r="F3" s="457"/>
      <c r="G3" s="457"/>
      <c r="H3" s="457"/>
      <c r="I3" s="457"/>
      <c r="J3" s="457"/>
      <c r="K3" s="457"/>
      <c r="L3" s="457"/>
    </row>
    <row r="4" spans="4:12" ht="34.5" customHeight="1" x14ac:dyDescent="0.25">
      <c r="D4" s="92" t="s">
        <v>133</v>
      </c>
      <c r="E4" s="92" t="s">
        <v>134</v>
      </c>
      <c r="F4" s="92" t="s">
        <v>135</v>
      </c>
      <c r="G4" s="92" t="s">
        <v>136</v>
      </c>
      <c r="H4" s="92" t="s">
        <v>137</v>
      </c>
      <c r="I4" s="92" t="s">
        <v>138</v>
      </c>
      <c r="J4" s="92" t="s">
        <v>430</v>
      </c>
      <c r="K4" s="92" t="s">
        <v>140</v>
      </c>
      <c r="L4" s="92" t="s">
        <v>141</v>
      </c>
    </row>
    <row r="5" spans="4:12" ht="19.5" customHeight="1" x14ac:dyDescent="0.25">
      <c r="D5" s="92">
        <v>1</v>
      </c>
      <c r="E5" s="357" t="s">
        <v>413</v>
      </c>
      <c r="F5" s="358" t="s">
        <v>142</v>
      </c>
      <c r="G5" s="359">
        <v>480</v>
      </c>
      <c r="H5" s="360">
        <v>1.21</v>
      </c>
      <c r="I5" s="247">
        <f>IF(G5=0,0,G5*H5)</f>
        <v>580.79999999999995</v>
      </c>
      <c r="J5" s="310">
        <f>IF(I5=0,0,I5/$I$35)</f>
        <v>4.0861812778603263E-2</v>
      </c>
      <c r="K5" s="89">
        <f>'🧮 Costos x Producto'!K7</f>
        <v>5.8866740063150083</v>
      </c>
      <c r="L5" s="90">
        <f>'💰 Precio de Venta'!H8</f>
        <v>9.8111233438583483</v>
      </c>
    </row>
    <row r="6" spans="4:12" ht="19.5" customHeight="1" x14ac:dyDescent="0.25">
      <c r="D6" s="92">
        <v>2</v>
      </c>
      <c r="E6" s="361" t="s">
        <v>414</v>
      </c>
      <c r="F6" s="362" t="s">
        <v>142</v>
      </c>
      <c r="G6" s="363">
        <v>2880</v>
      </c>
      <c r="H6" s="364">
        <v>0.68</v>
      </c>
      <c r="I6" s="248">
        <f t="shared" ref="I6:I34" si="0">IF(G6=0,0,G6*H6)</f>
        <v>1958.4</v>
      </c>
      <c r="J6" s="310">
        <f t="shared" ref="J6:J34" si="1">IF(I6=0,0,I6/$I$35)</f>
        <v>0.13778198027826558</v>
      </c>
      <c r="K6" s="89">
        <f>'🧮 Costos x Producto'!K8</f>
        <v>3.3082134911522361</v>
      </c>
      <c r="L6" s="14">
        <f>'💰 Precio de Venta'!H9</f>
        <v>5.5136891519203939</v>
      </c>
    </row>
    <row r="7" spans="4:12" ht="19.5" customHeight="1" x14ac:dyDescent="0.25">
      <c r="D7" s="92">
        <v>3</v>
      </c>
      <c r="E7" s="361" t="s">
        <v>415</v>
      </c>
      <c r="F7" s="362" t="s">
        <v>142</v>
      </c>
      <c r="G7" s="363">
        <v>2880</v>
      </c>
      <c r="H7" s="364">
        <v>0.4</v>
      </c>
      <c r="I7" s="248">
        <f t="shared" si="0"/>
        <v>1152</v>
      </c>
      <c r="J7" s="310">
        <f t="shared" si="1"/>
        <v>8.1048223693097388E-2</v>
      </c>
      <c r="K7" s="89">
        <f>'🧮 Costos x Producto'!K9</f>
        <v>1.9460079359719038</v>
      </c>
      <c r="L7" s="14">
        <f>'💰 Precio de Venta'!H10</f>
        <v>3.243346559953173</v>
      </c>
    </row>
    <row r="8" spans="4:12" ht="19.5" customHeight="1" x14ac:dyDescent="0.25">
      <c r="D8" s="92">
        <v>4</v>
      </c>
      <c r="E8" s="361" t="s">
        <v>416</v>
      </c>
      <c r="F8" s="362" t="s">
        <v>142</v>
      </c>
      <c r="G8" s="363">
        <v>10224</v>
      </c>
      <c r="H8" s="364">
        <v>0.34</v>
      </c>
      <c r="I8" s="248">
        <f t="shared" si="0"/>
        <v>3476.1600000000003</v>
      </c>
      <c r="J8" s="310">
        <f t="shared" si="1"/>
        <v>0.24456301499392141</v>
      </c>
      <c r="K8" s="89">
        <f>'🧮 Costos x Producto'!K10</f>
        <v>1.654106745576118</v>
      </c>
      <c r="L8" s="14">
        <f>'💰 Precio de Venta'!H11</f>
        <v>2.7568445759601969</v>
      </c>
    </row>
    <row r="9" spans="4:12" ht="19.5" customHeight="1" x14ac:dyDescent="0.25">
      <c r="D9" s="92">
        <v>5</v>
      </c>
      <c r="E9" s="361" t="s">
        <v>417</v>
      </c>
      <c r="F9" s="362" t="s">
        <v>142</v>
      </c>
      <c r="G9" s="363">
        <v>8640</v>
      </c>
      <c r="H9" s="364">
        <v>0.26</v>
      </c>
      <c r="I9" s="248">
        <f t="shared" si="0"/>
        <v>2246.4</v>
      </c>
      <c r="J9" s="310">
        <f t="shared" si="1"/>
        <v>0.15804403620153992</v>
      </c>
      <c r="K9" s="89">
        <f>'🧮 Costos x Producto'!K11</f>
        <v>1.2649051583817372</v>
      </c>
      <c r="L9" s="14">
        <f>'💰 Precio de Venta'!H12</f>
        <v>2.1081752639695623</v>
      </c>
    </row>
    <row r="10" spans="4:12" ht="19.5" customHeight="1" x14ac:dyDescent="0.25">
      <c r="D10" s="92">
        <v>6</v>
      </c>
      <c r="E10" s="361" t="s">
        <v>418</v>
      </c>
      <c r="F10" s="362" t="s">
        <v>142</v>
      </c>
      <c r="G10" s="363">
        <v>2160</v>
      </c>
      <c r="H10" s="364">
        <v>0.28999999999999998</v>
      </c>
      <c r="I10" s="248">
        <f t="shared" si="0"/>
        <v>626.4</v>
      </c>
      <c r="J10" s="310">
        <f t="shared" si="1"/>
        <v>4.4069971633121707E-2</v>
      </c>
      <c r="K10" s="89">
        <f>'🧮 Costos x Producto'!K12</f>
        <v>1.41085575357963</v>
      </c>
      <c r="L10" s="14">
        <f>'💰 Precio de Venta'!H13</f>
        <v>2.3514262559660501</v>
      </c>
    </row>
    <row r="11" spans="4:12" ht="19.5" customHeight="1" x14ac:dyDescent="0.25">
      <c r="D11" s="92">
        <v>7</v>
      </c>
      <c r="E11" s="361" t="s">
        <v>419</v>
      </c>
      <c r="F11" s="362" t="s">
        <v>142</v>
      </c>
      <c r="G11" s="363">
        <v>240</v>
      </c>
      <c r="H11" s="364">
        <v>5.71</v>
      </c>
      <c r="I11" s="248">
        <f t="shared" si="0"/>
        <v>1370.4</v>
      </c>
      <c r="J11" s="310">
        <f t="shared" si="1"/>
        <v>9.6413616101580446E-2</v>
      </c>
      <c r="K11" s="89">
        <f>'🧮 Costos x Producto'!K13</f>
        <v>27.779263285998923</v>
      </c>
      <c r="L11" s="14">
        <f>'💰 Precio de Venta'!H14</f>
        <v>46.29877214333154</v>
      </c>
    </row>
    <row r="12" spans="4:12" ht="19.5" customHeight="1" x14ac:dyDescent="0.25">
      <c r="D12" s="92">
        <v>8</v>
      </c>
      <c r="E12" s="361" t="s">
        <v>420</v>
      </c>
      <c r="F12" s="362" t="s">
        <v>142</v>
      </c>
      <c r="G12" s="363">
        <v>1920</v>
      </c>
      <c r="H12" s="364">
        <v>0.76</v>
      </c>
      <c r="I12" s="248">
        <f t="shared" si="0"/>
        <v>1459.2</v>
      </c>
      <c r="J12" s="310">
        <f t="shared" si="1"/>
        <v>0.10266108334459004</v>
      </c>
      <c r="K12" s="89">
        <f>'🧮 Costos x Producto'!K14</f>
        <v>3.6974150783466171</v>
      </c>
      <c r="L12" s="14">
        <f>'💰 Precio de Venta'!H15</f>
        <v>6.1623584639110289</v>
      </c>
    </row>
    <row r="13" spans="4:12" ht="19.5" customHeight="1" x14ac:dyDescent="0.25">
      <c r="D13" s="92">
        <v>9</v>
      </c>
      <c r="E13" s="361" t="s">
        <v>421</v>
      </c>
      <c r="F13" s="362" t="s">
        <v>142</v>
      </c>
      <c r="G13" s="363">
        <v>4800</v>
      </c>
      <c r="H13" s="364">
        <v>0.28000000000000003</v>
      </c>
      <c r="I13" s="248">
        <f t="shared" si="0"/>
        <v>1344.0000000000002</v>
      </c>
      <c r="J13" s="310">
        <f t="shared" si="1"/>
        <v>9.4556260975280304E-2</v>
      </c>
      <c r="K13" s="89">
        <f>'🧮 Costos x Producto'!K15</f>
        <v>1.3622055551803325</v>
      </c>
      <c r="L13" s="14">
        <f>'💰 Precio de Venta'!H16</f>
        <v>2.2703425919672209</v>
      </c>
    </row>
    <row r="14" spans="4:12" ht="19.5" customHeight="1" x14ac:dyDescent="0.25">
      <c r="D14" s="92">
        <v>10</v>
      </c>
      <c r="E14" s="361"/>
      <c r="F14" s="362" t="s">
        <v>142</v>
      </c>
      <c r="G14" s="363">
        <v>0</v>
      </c>
      <c r="H14" s="364">
        <v>0</v>
      </c>
      <c r="I14" s="248">
        <f t="shared" si="0"/>
        <v>0</v>
      </c>
      <c r="J14" s="310">
        <f t="shared" si="1"/>
        <v>0</v>
      </c>
      <c r="K14" s="89">
        <f>'🧮 Costos x Producto'!K16</f>
        <v>0</v>
      </c>
      <c r="L14" s="14">
        <f>'💰 Precio de Venta'!H17</f>
        <v>0</v>
      </c>
    </row>
    <row r="15" spans="4:12" ht="19.5" customHeight="1" x14ac:dyDescent="0.25">
      <c r="D15" s="92">
        <v>11</v>
      </c>
      <c r="E15" s="361"/>
      <c r="F15" s="362" t="s">
        <v>142</v>
      </c>
      <c r="G15" s="363">
        <v>0</v>
      </c>
      <c r="H15" s="364">
        <v>0</v>
      </c>
      <c r="I15" s="248">
        <f t="shared" si="0"/>
        <v>0</v>
      </c>
      <c r="J15" s="310">
        <f t="shared" si="1"/>
        <v>0</v>
      </c>
      <c r="K15" s="89">
        <f>'🧮 Costos x Producto'!K17</f>
        <v>0</v>
      </c>
      <c r="L15" s="14">
        <f>'💰 Precio de Venta'!H18</f>
        <v>0</v>
      </c>
    </row>
    <row r="16" spans="4:12" ht="19.5" customHeight="1" x14ac:dyDescent="0.25">
      <c r="D16" s="92">
        <v>12</v>
      </c>
      <c r="E16" s="361"/>
      <c r="F16" s="362" t="s">
        <v>142</v>
      </c>
      <c r="G16" s="363">
        <v>0</v>
      </c>
      <c r="H16" s="364">
        <v>0</v>
      </c>
      <c r="I16" s="248">
        <f t="shared" si="0"/>
        <v>0</v>
      </c>
      <c r="J16" s="310">
        <f t="shared" si="1"/>
        <v>0</v>
      </c>
      <c r="K16" s="89">
        <f>'🧮 Costos x Producto'!K18</f>
        <v>0</v>
      </c>
      <c r="L16" s="14">
        <f>'💰 Precio de Venta'!H19</f>
        <v>0</v>
      </c>
    </row>
    <row r="17" spans="4:12" ht="19.5" customHeight="1" x14ac:dyDescent="0.25">
      <c r="D17" s="92">
        <v>13</v>
      </c>
      <c r="E17" s="361"/>
      <c r="F17" s="362" t="s">
        <v>142</v>
      </c>
      <c r="G17" s="363">
        <v>0</v>
      </c>
      <c r="H17" s="364">
        <v>0</v>
      </c>
      <c r="I17" s="248">
        <f t="shared" si="0"/>
        <v>0</v>
      </c>
      <c r="J17" s="310">
        <f t="shared" si="1"/>
        <v>0</v>
      </c>
      <c r="K17" s="89">
        <f>'🧮 Costos x Producto'!K19</f>
        <v>0</v>
      </c>
      <c r="L17" s="14">
        <f>'💰 Precio de Venta'!H20</f>
        <v>0</v>
      </c>
    </row>
    <row r="18" spans="4:12" ht="19.5" customHeight="1" x14ac:dyDescent="0.25">
      <c r="D18" s="92">
        <v>14</v>
      </c>
      <c r="E18" s="361"/>
      <c r="F18" s="362" t="s">
        <v>142</v>
      </c>
      <c r="G18" s="363">
        <v>0</v>
      </c>
      <c r="H18" s="364">
        <v>0</v>
      </c>
      <c r="I18" s="248">
        <f t="shared" si="0"/>
        <v>0</v>
      </c>
      <c r="J18" s="310">
        <f t="shared" si="1"/>
        <v>0</v>
      </c>
      <c r="K18" s="89">
        <f>'🧮 Costos x Producto'!K20</f>
        <v>0</v>
      </c>
      <c r="L18" s="14">
        <f>'💰 Precio de Venta'!H21</f>
        <v>0</v>
      </c>
    </row>
    <row r="19" spans="4:12" ht="19.5" customHeight="1" x14ac:dyDescent="0.25">
      <c r="D19" s="92">
        <v>15</v>
      </c>
      <c r="E19" s="361"/>
      <c r="F19" s="362" t="s">
        <v>142</v>
      </c>
      <c r="G19" s="363">
        <v>0</v>
      </c>
      <c r="H19" s="364">
        <v>0</v>
      </c>
      <c r="I19" s="248">
        <f t="shared" si="0"/>
        <v>0</v>
      </c>
      <c r="J19" s="310">
        <f t="shared" si="1"/>
        <v>0</v>
      </c>
      <c r="K19" s="89">
        <f>'🧮 Costos x Producto'!K21</f>
        <v>0</v>
      </c>
      <c r="L19" s="14">
        <f>'💰 Precio de Venta'!H22</f>
        <v>0</v>
      </c>
    </row>
    <row r="20" spans="4:12" ht="19.5" customHeight="1" x14ac:dyDescent="0.25">
      <c r="D20" s="92">
        <v>16</v>
      </c>
      <c r="E20" s="361"/>
      <c r="F20" s="362" t="s">
        <v>142</v>
      </c>
      <c r="G20" s="363">
        <v>0</v>
      </c>
      <c r="H20" s="364">
        <v>0</v>
      </c>
      <c r="I20" s="248">
        <f t="shared" si="0"/>
        <v>0</v>
      </c>
      <c r="J20" s="310">
        <f t="shared" si="1"/>
        <v>0</v>
      </c>
      <c r="K20" s="89">
        <f>'🧮 Costos x Producto'!K22</f>
        <v>0</v>
      </c>
      <c r="L20" s="14">
        <f>'💰 Precio de Venta'!H23</f>
        <v>0</v>
      </c>
    </row>
    <row r="21" spans="4:12" ht="19.5" customHeight="1" x14ac:dyDescent="0.25">
      <c r="D21" s="92">
        <v>17</v>
      </c>
      <c r="E21" s="361"/>
      <c r="F21" s="362" t="s">
        <v>142</v>
      </c>
      <c r="G21" s="363">
        <v>0</v>
      </c>
      <c r="H21" s="364">
        <v>0</v>
      </c>
      <c r="I21" s="248">
        <f t="shared" si="0"/>
        <v>0</v>
      </c>
      <c r="J21" s="310">
        <f t="shared" si="1"/>
        <v>0</v>
      </c>
      <c r="K21" s="89">
        <f>'🧮 Costos x Producto'!K23</f>
        <v>0</v>
      </c>
      <c r="L21" s="14">
        <f>'💰 Precio de Venta'!H24</f>
        <v>0</v>
      </c>
    </row>
    <row r="22" spans="4:12" ht="19.5" customHeight="1" x14ac:dyDescent="0.25">
      <c r="D22" s="92">
        <v>18</v>
      </c>
      <c r="E22" s="361"/>
      <c r="F22" s="362" t="s">
        <v>142</v>
      </c>
      <c r="G22" s="363">
        <v>0</v>
      </c>
      <c r="H22" s="364">
        <v>0</v>
      </c>
      <c r="I22" s="248">
        <f t="shared" si="0"/>
        <v>0</v>
      </c>
      <c r="J22" s="310">
        <f t="shared" si="1"/>
        <v>0</v>
      </c>
      <c r="K22" s="89">
        <f>'🧮 Costos x Producto'!K24</f>
        <v>0</v>
      </c>
      <c r="L22" s="14">
        <f>'💰 Precio de Venta'!H25</f>
        <v>0</v>
      </c>
    </row>
    <row r="23" spans="4:12" ht="19.5" customHeight="1" x14ac:dyDescent="0.25">
      <c r="D23" s="92">
        <v>19</v>
      </c>
      <c r="E23" s="361"/>
      <c r="F23" s="362" t="s">
        <v>142</v>
      </c>
      <c r="G23" s="363">
        <v>0</v>
      </c>
      <c r="H23" s="364">
        <v>0</v>
      </c>
      <c r="I23" s="248">
        <f t="shared" si="0"/>
        <v>0</v>
      </c>
      <c r="J23" s="310">
        <f t="shared" si="1"/>
        <v>0</v>
      </c>
      <c r="K23" s="89">
        <f>'🧮 Costos x Producto'!K25</f>
        <v>0</v>
      </c>
      <c r="L23" s="14">
        <f>'💰 Precio de Venta'!H26</f>
        <v>0</v>
      </c>
    </row>
    <row r="24" spans="4:12" ht="19.5" customHeight="1" x14ac:dyDescent="0.25">
      <c r="D24" s="92">
        <v>20</v>
      </c>
      <c r="E24" s="361"/>
      <c r="F24" s="362" t="s">
        <v>142</v>
      </c>
      <c r="G24" s="363">
        <v>0</v>
      </c>
      <c r="H24" s="364">
        <v>0</v>
      </c>
      <c r="I24" s="248">
        <f t="shared" si="0"/>
        <v>0</v>
      </c>
      <c r="J24" s="310">
        <f t="shared" si="1"/>
        <v>0</v>
      </c>
      <c r="K24" s="89">
        <f>'🧮 Costos x Producto'!K26</f>
        <v>0</v>
      </c>
      <c r="L24" s="14">
        <f>'💰 Precio de Venta'!H27</f>
        <v>0</v>
      </c>
    </row>
    <row r="25" spans="4:12" ht="19.5" customHeight="1" x14ac:dyDescent="0.25">
      <c r="D25" s="92">
        <v>21</v>
      </c>
      <c r="E25" s="361"/>
      <c r="F25" s="362" t="s">
        <v>142</v>
      </c>
      <c r="G25" s="363">
        <v>0</v>
      </c>
      <c r="H25" s="364">
        <v>0</v>
      </c>
      <c r="I25" s="248">
        <f t="shared" si="0"/>
        <v>0</v>
      </c>
      <c r="J25" s="310">
        <f t="shared" si="1"/>
        <v>0</v>
      </c>
      <c r="K25" s="89">
        <f>'🧮 Costos x Producto'!K27</f>
        <v>0</v>
      </c>
      <c r="L25" s="14">
        <f>'💰 Precio de Venta'!H28</f>
        <v>0</v>
      </c>
    </row>
    <row r="26" spans="4:12" ht="19.5" customHeight="1" x14ac:dyDescent="0.25">
      <c r="D26" s="92">
        <v>22</v>
      </c>
      <c r="E26" s="361"/>
      <c r="F26" s="362" t="s">
        <v>142</v>
      </c>
      <c r="G26" s="363">
        <v>0</v>
      </c>
      <c r="H26" s="364">
        <v>0</v>
      </c>
      <c r="I26" s="248">
        <f t="shared" si="0"/>
        <v>0</v>
      </c>
      <c r="J26" s="310">
        <f t="shared" si="1"/>
        <v>0</v>
      </c>
      <c r="K26" s="89">
        <f>'🧮 Costos x Producto'!K28</f>
        <v>0</v>
      </c>
      <c r="L26" s="14">
        <f>'💰 Precio de Venta'!H29</f>
        <v>0</v>
      </c>
    </row>
    <row r="27" spans="4:12" ht="19.5" customHeight="1" x14ac:dyDescent="0.25">
      <c r="D27" s="92">
        <v>23</v>
      </c>
      <c r="E27" s="361"/>
      <c r="F27" s="362" t="s">
        <v>142</v>
      </c>
      <c r="G27" s="363">
        <v>0</v>
      </c>
      <c r="H27" s="364">
        <v>0</v>
      </c>
      <c r="I27" s="248">
        <f t="shared" si="0"/>
        <v>0</v>
      </c>
      <c r="J27" s="310">
        <f t="shared" si="1"/>
        <v>0</v>
      </c>
      <c r="K27" s="89">
        <f>'🧮 Costos x Producto'!K29</f>
        <v>0</v>
      </c>
      <c r="L27" s="14">
        <f>'💰 Precio de Venta'!H30</f>
        <v>0</v>
      </c>
    </row>
    <row r="28" spans="4:12" ht="19.5" customHeight="1" x14ac:dyDescent="0.25">
      <c r="D28" s="92">
        <v>24</v>
      </c>
      <c r="E28" s="361"/>
      <c r="F28" s="362" t="s">
        <v>142</v>
      </c>
      <c r="G28" s="363">
        <v>0</v>
      </c>
      <c r="H28" s="364">
        <v>0</v>
      </c>
      <c r="I28" s="248">
        <f t="shared" si="0"/>
        <v>0</v>
      </c>
      <c r="J28" s="310">
        <f t="shared" si="1"/>
        <v>0</v>
      </c>
      <c r="K28" s="89">
        <f>'🧮 Costos x Producto'!K30</f>
        <v>0</v>
      </c>
      <c r="L28" s="14">
        <f>'💰 Precio de Venta'!H31</f>
        <v>0</v>
      </c>
    </row>
    <row r="29" spans="4:12" ht="19.5" customHeight="1" x14ac:dyDescent="0.25">
      <c r="D29" s="92">
        <v>25</v>
      </c>
      <c r="E29" s="361"/>
      <c r="F29" s="362" t="s">
        <v>142</v>
      </c>
      <c r="G29" s="363">
        <v>0</v>
      </c>
      <c r="H29" s="364">
        <v>0</v>
      </c>
      <c r="I29" s="248">
        <f t="shared" si="0"/>
        <v>0</v>
      </c>
      <c r="J29" s="310">
        <f t="shared" si="1"/>
        <v>0</v>
      </c>
      <c r="K29" s="89">
        <f>'🧮 Costos x Producto'!K31</f>
        <v>0</v>
      </c>
      <c r="L29" s="14">
        <f>'💰 Precio de Venta'!H32</f>
        <v>0</v>
      </c>
    </row>
    <row r="30" spans="4:12" ht="19.5" customHeight="1" x14ac:dyDescent="0.25">
      <c r="D30" s="92">
        <v>26</v>
      </c>
      <c r="E30" s="361"/>
      <c r="F30" s="362" t="s">
        <v>142</v>
      </c>
      <c r="G30" s="363">
        <v>0</v>
      </c>
      <c r="H30" s="364">
        <v>0</v>
      </c>
      <c r="I30" s="248">
        <f t="shared" si="0"/>
        <v>0</v>
      </c>
      <c r="J30" s="310">
        <f t="shared" si="1"/>
        <v>0</v>
      </c>
      <c r="K30" s="89">
        <f>'🧮 Costos x Producto'!K32</f>
        <v>0</v>
      </c>
      <c r="L30" s="14">
        <f>'💰 Precio de Venta'!H33</f>
        <v>0</v>
      </c>
    </row>
    <row r="31" spans="4:12" ht="19.5" customHeight="1" x14ac:dyDescent="0.25">
      <c r="D31" s="92">
        <v>27</v>
      </c>
      <c r="E31" s="361"/>
      <c r="F31" s="362" t="s">
        <v>142</v>
      </c>
      <c r="G31" s="363">
        <v>0</v>
      </c>
      <c r="H31" s="364">
        <v>0</v>
      </c>
      <c r="I31" s="248">
        <f t="shared" si="0"/>
        <v>0</v>
      </c>
      <c r="J31" s="310">
        <f t="shared" si="1"/>
        <v>0</v>
      </c>
      <c r="K31" s="89">
        <f>'🧮 Costos x Producto'!K33</f>
        <v>0</v>
      </c>
      <c r="L31" s="14">
        <f>'💰 Precio de Venta'!H34</f>
        <v>0</v>
      </c>
    </row>
    <row r="32" spans="4:12" ht="19.5" customHeight="1" x14ac:dyDescent="0.25">
      <c r="D32" s="92">
        <v>28</v>
      </c>
      <c r="E32" s="361"/>
      <c r="F32" s="362" t="s">
        <v>142</v>
      </c>
      <c r="G32" s="363">
        <v>0</v>
      </c>
      <c r="H32" s="364">
        <v>0</v>
      </c>
      <c r="I32" s="248">
        <f t="shared" si="0"/>
        <v>0</v>
      </c>
      <c r="J32" s="310">
        <f t="shared" si="1"/>
        <v>0</v>
      </c>
      <c r="K32" s="89">
        <f>'🧮 Costos x Producto'!K34</f>
        <v>0</v>
      </c>
      <c r="L32" s="14">
        <f>'💰 Precio de Venta'!H35</f>
        <v>0</v>
      </c>
    </row>
    <row r="33" spans="4:12" ht="19.5" customHeight="1" x14ac:dyDescent="0.25">
      <c r="D33" s="92">
        <v>29</v>
      </c>
      <c r="E33" s="361"/>
      <c r="F33" s="362" t="s">
        <v>142</v>
      </c>
      <c r="G33" s="363">
        <v>0</v>
      </c>
      <c r="H33" s="364">
        <v>0</v>
      </c>
      <c r="I33" s="248">
        <f t="shared" si="0"/>
        <v>0</v>
      </c>
      <c r="J33" s="310">
        <f t="shared" si="1"/>
        <v>0</v>
      </c>
      <c r="K33" s="89">
        <f>'🧮 Costos x Producto'!K35</f>
        <v>0</v>
      </c>
      <c r="L33" s="14">
        <f>'💰 Precio de Venta'!H36</f>
        <v>0</v>
      </c>
    </row>
    <row r="34" spans="4:12" ht="19.5" customHeight="1" x14ac:dyDescent="0.25">
      <c r="D34" s="92">
        <v>30</v>
      </c>
      <c r="E34" s="365"/>
      <c r="F34" s="366" t="s">
        <v>142</v>
      </c>
      <c r="G34" s="367">
        <v>0</v>
      </c>
      <c r="H34" s="368">
        <v>0</v>
      </c>
      <c r="I34" s="249">
        <f t="shared" si="0"/>
        <v>0</v>
      </c>
      <c r="J34" s="310">
        <f t="shared" si="1"/>
        <v>0</v>
      </c>
      <c r="K34" s="89">
        <f>'🧮 Costos x Producto'!K36</f>
        <v>0</v>
      </c>
      <c r="L34" s="91">
        <f>'💰 Precio de Venta'!H37</f>
        <v>0</v>
      </c>
    </row>
    <row r="35" spans="4:12" ht="21.75" customHeight="1" x14ac:dyDescent="0.25">
      <c r="D35" s="456" t="s">
        <v>144</v>
      </c>
      <c r="E35" s="456"/>
      <c r="F35" s="456"/>
      <c r="G35" s="456"/>
      <c r="H35" s="456"/>
      <c r="I35" s="94">
        <f>SUM(I5:I34)</f>
        <v>14213.76</v>
      </c>
      <c r="J35" s="95"/>
      <c r="K35" s="95"/>
      <c r="L35" s="95"/>
    </row>
    <row r="36" spans="4:12" s="93" customFormat="1" x14ac:dyDescent="0.25"/>
    <row r="37" spans="4:12" s="93" customFormat="1" x14ac:dyDescent="0.25"/>
    <row r="38" spans="4:12" s="93" customFormat="1" x14ac:dyDescent="0.25"/>
    <row r="39" spans="4:12" s="93" customFormat="1" x14ac:dyDescent="0.25"/>
    <row r="40" spans="4:12" s="93" customFormat="1" x14ac:dyDescent="0.25"/>
    <row r="41" spans="4:12" s="93" customFormat="1" x14ac:dyDescent="0.25"/>
    <row r="42" spans="4:12" s="93" customFormat="1" x14ac:dyDescent="0.25"/>
    <row r="43" spans="4:12" s="93" customFormat="1" x14ac:dyDescent="0.25"/>
    <row r="44" spans="4:12" s="93" customFormat="1" x14ac:dyDescent="0.25"/>
    <row r="45" spans="4:12" s="93" customFormat="1" x14ac:dyDescent="0.25"/>
    <row r="46" spans="4:12" s="93" customFormat="1" x14ac:dyDescent="0.25"/>
    <row r="47" spans="4:12" s="93" customFormat="1" x14ac:dyDescent="0.25"/>
    <row r="48" spans="4:12" s="93" customFormat="1" x14ac:dyDescent="0.25"/>
    <row r="49" s="93" customFormat="1" x14ac:dyDescent="0.25"/>
    <row r="50" s="93" customFormat="1" x14ac:dyDescent="0.25"/>
    <row r="51" s="93" customFormat="1" x14ac:dyDescent="0.25"/>
    <row r="52" s="93" customFormat="1" x14ac:dyDescent="0.25"/>
    <row r="53" s="93" customFormat="1" x14ac:dyDescent="0.25"/>
    <row r="54" s="93" customFormat="1" x14ac:dyDescent="0.25"/>
    <row r="55" s="93" customFormat="1" x14ac:dyDescent="0.25"/>
    <row r="56" s="93" customFormat="1" x14ac:dyDescent="0.25"/>
    <row r="57" s="93" customFormat="1" x14ac:dyDescent="0.25"/>
    <row r="58" s="93" customFormat="1" x14ac:dyDescent="0.25"/>
    <row r="59" s="93" customFormat="1" x14ac:dyDescent="0.25"/>
    <row r="60" s="93" customFormat="1" x14ac:dyDescent="0.25"/>
    <row r="61" s="93" customFormat="1" x14ac:dyDescent="0.25"/>
    <row r="62" s="93" customFormat="1" x14ac:dyDescent="0.25"/>
    <row r="63" s="93" customFormat="1" x14ac:dyDescent="0.25"/>
    <row r="64" s="93" customFormat="1" x14ac:dyDescent="0.25"/>
    <row r="65" s="93" customFormat="1" x14ac:dyDescent="0.25"/>
    <row r="66" s="93" customFormat="1" x14ac:dyDescent="0.25"/>
    <row r="67" s="93" customFormat="1" x14ac:dyDescent="0.25"/>
    <row r="68" s="93" customFormat="1" x14ac:dyDescent="0.25"/>
    <row r="69" s="93" customFormat="1" x14ac:dyDescent="0.25"/>
    <row r="70" s="93" customFormat="1" x14ac:dyDescent="0.25"/>
    <row r="71" s="93" customFormat="1" x14ac:dyDescent="0.25"/>
    <row r="72" s="93" customFormat="1" x14ac:dyDescent="0.25"/>
    <row r="73" s="93" customFormat="1" x14ac:dyDescent="0.25"/>
    <row r="74" s="93" customFormat="1" x14ac:dyDescent="0.25"/>
    <row r="75" s="93" customFormat="1" x14ac:dyDescent="0.25"/>
    <row r="76" s="93" customFormat="1" x14ac:dyDescent="0.25"/>
    <row r="77" s="93" customFormat="1" x14ac:dyDescent="0.25"/>
    <row r="78" s="93" customFormat="1" x14ac:dyDescent="0.25"/>
    <row r="79" s="93" customFormat="1" x14ac:dyDescent="0.25"/>
    <row r="80" s="93" customFormat="1" x14ac:dyDescent="0.25"/>
    <row r="81" s="93" customFormat="1" x14ac:dyDescent="0.25"/>
    <row r="82" s="93" customFormat="1" x14ac:dyDescent="0.25"/>
    <row r="83" s="93" customFormat="1" x14ac:dyDescent="0.25"/>
    <row r="84" s="93" customFormat="1" x14ac:dyDescent="0.25"/>
    <row r="85" s="93" customFormat="1" x14ac:dyDescent="0.25"/>
    <row r="86" s="93" customFormat="1" x14ac:dyDescent="0.25"/>
    <row r="87" s="93" customFormat="1" x14ac:dyDescent="0.25"/>
    <row r="88" s="93" customFormat="1" x14ac:dyDescent="0.25"/>
    <row r="89" s="93" customFormat="1" x14ac:dyDescent="0.25"/>
    <row r="90" s="93" customFormat="1" x14ac:dyDescent="0.25"/>
    <row r="91" s="93" customFormat="1" x14ac:dyDescent="0.25"/>
    <row r="92" s="93" customFormat="1" x14ac:dyDescent="0.25"/>
    <row r="93" s="93" customFormat="1" x14ac:dyDescent="0.25"/>
    <row r="94" s="93" customFormat="1" x14ac:dyDescent="0.25"/>
    <row r="95" s="93" customFormat="1" x14ac:dyDescent="0.25"/>
    <row r="96" s="93" customFormat="1" x14ac:dyDescent="0.25"/>
    <row r="97" s="93" customFormat="1" x14ac:dyDescent="0.25"/>
    <row r="98" s="93" customFormat="1" x14ac:dyDescent="0.25"/>
    <row r="99" s="93" customFormat="1" x14ac:dyDescent="0.25"/>
    <row r="100" s="93" customFormat="1" x14ac:dyDescent="0.25"/>
    <row r="101" s="93" customFormat="1" x14ac:dyDescent="0.25"/>
    <row r="102" s="93" customFormat="1" x14ac:dyDescent="0.25"/>
    <row r="103" s="93" customFormat="1" x14ac:dyDescent="0.25"/>
    <row r="104" s="93" customFormat="1" x14ac:dyDescent="0.25"/>
    <row r="105" s="93" customFormat="1" x14ac:dyDescent="0.25"/>
    <row r="106" s="93" customFormat="1" x14ac:dyDescent="0.25"/>
    <row r="107" s="93" customFormat="1" x14ac:dyDescent="0.25"/>
    <row r="108" s="93" customFormat="1" x14ac:dyDescent="0.25"/>
    <row r="109" s="93" customFormat="1" x14ac:dyDescent="0.25"/>
    <row r="110" s="93" customFormat="1" x14ac:dyDescent="0.25"/>
    <row r="111" s="93" customFormat="1" x14ac:dyDescent="0.25"/>
    <row r="112" s="93" customFormat="1" x14ac:dyDescent="0.25"/>
    <row r="113" s="93" customFormat="1" x14ac:dyDescent="0.25"/>
    <row r="114" s="93" customFormat="1" x14ac:dyDescent="0.25"/>
    <row r="115" s="93" customFormat="1" x14ac:dyDescent="0.25"/>
    <row r="116" s="93" customFormat="1" x14ac:dyDescent="0.25"/>
    <row r="117" s="93" customFormat="1" x14ac:dyDescent="0.25"/>
    <row r="118" s="93" customFormat="1" x14ac:dyDescent="0.25"/>
    <row r="119" s="93" customFormat="1" x14ac:dyDescent="0.25"/>
    <row r="120" s="93" customFormat="1" x14ac:dyDescent="0.25"/>
    <row r="121" s="93" customFormat="1" x14ac:dyDescent="0.25"/>
    <row r="122" s="93" customFormat="1" x14ac:dyDescent="0.25"/>
    <row r="123" s="93" customFormat="1" x14ac:dyDescent="0.25"/>
    <row r="124" s="93" customFormat="1" x14ac:dyDescent="0.25"/>
    <row r="125" s="93" customFormat="1" x14ac:dyDescent="0.25"/>
    <row r="126" s="93" customFormat="1" x14ac:dyDescent="0.25"/>
    <row r="127" s="93" customFormat="1" x14ac:dyDescent="0.25"/>
    <row r="128" s="93" customFormat="1" x14ac:dyDescent="0.25"/>
    <row r="129" s="93" customFormat="1" x14ac:dyDescent="0.25"/>
    <row r="130" s="93" customFormat="1" x14ac:dyDescent="0.25"/>
    <row r="131" s="93" customFormat="1" x14ac:dyDescent="0.25"/>
    <row r="132" s="93" customFormat="1" x14ac:dyDescent="0.25"/>
    <row r="133" s="93" customFormat="1" x14ac:dyDescent="0.25"/>
    <row r="134" s="93" customFormat="1" x14ac:dyDescent="0.25"/>
    <row r="135" s="93" customFormat="1" x14ac:dyDescent="0.25"/>
    <row r="136" s="93" customFormat="1" x14ac:dyDescent="0.25"/>
    <row r="137" s="93" customFormat="1" x14ac:dyDescent="0.25"/>
    <row r="138" s="93" customFormat="1" x14ac:dyDescent="0.25"/>
    <row r="139" s="93" customFormat="1" x14ac:dyDescent="0.25"/>
    <row r="140" s="93" customFormat="1" x14ac:dyDescent="0.25"/>
    <row r="141" s="93" customFormat="1" x14ac:dyDescent="0.25"/>
    <row r="142" s="93" customFormat="1" x14ac:dyDescent="0.25"/>
    <row r="143" s="93" customFormat="1" x14ac:dyDescent="0.25"/>
    <row r="144" s="93" customFormat="1" x14ac:dyDescent="0.25"/>
    <row r="145" s="93" customFormat="1" x14ac:dyDescent="0.25"/>
    <row r="146" s="93" customFormat="1" x14ac:dyDescent="0.25"/>
    <row r="147" s="93" customFormat="1" x14ac:dyDescent="0.25"/>
    <row r="148" s="93" customFormat="1" x14ac:dyDescent="0.25"/>
    <row r="149" s="93" customFormat="1" x14ac:dyDescent="0.25"/>
    <row r="150" s="93" customFormat="1" x14ac:dyDescent="0.25"/>
    <row r="151" s="93" customFormat="1" x14ac:dyDescent="0.25"/>
    <row r="152" s="93" customFormat="1" x14ac:dyDescent="0.25"/>
    <row r="153" s="93" customFormat="1" x14ac:dyDescent="0.25"/>
    <row r="154" s="93" customFormat="1" x14ac:dyDescent="0.25"/>
    <row r="155" s="93" customFormat="1" x14ac:dyDescent="0.25"/>
    <row r="156" s="93" customFormat="1" x14ac:dyDescent="0.25"/>
    <row r="157" s="93" customFormat="1" x14ac:dyDescent="0.25"/>
    <row r="158" s="93" customFormat="1" x14ac:dyDescent="0.25"/>
    <row r="159" s="93" customFormat="1" x14ac:dyDescent="0.25"/>
    <row r="160" s="93" customFormat="1" x14ac:dyDescent="0.25"/>
    <row r="161" s="93" customFormat="1" x14ac:dyDescent="0.25"/>
    <row r="162" s="93" customFormat="1" x14ac:dyDescent="0.25"/>
    <row r="163" s="93" customFormat="1" x14ac:dyDescent="0.25"/>
    <row r="164" s="93" customFormat="1" x14ac:dyDescent="0.25"/>
    <row r="165" s="93" customFormat="1" x14ac:dyDescent="0.25"/>
  </sheetData>
  <mergeCells count="3">
    <mergeCell ref="D35:H35"/>
    <mergeCell ref="D3:L3"/>
    <mergeCell ref="D2:L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AN400"/>
  <sheetViews>
    <sheetView showGridLines="0" zoomScaleNormal="100" workbookViewId="0">
      <selection activeCell="H28" sqref="H2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1" width="6.140625" style="93" customWidth="1"/>
    <col min="2" max="2" width="6.28515625" style="93" customWidth="1"/>
    <col min="3" max="3" width="3" style="93" customWidth="1"/>
    <col min="4" max="4" width="44.28515625" bestFit="1" customWidth="1"/>
    <col min="5" max="6" width="18" customWidth="1"/>
    <col min="7" max="7" width="37.140625" bestFit="1" customWidth="1"/>
    <col min="8" max="8" width="11.28515625" style="93" bestFit="1" customWidth="1"/>
    <col min="9" max="9" width="13.140625" style="93" bestFit="1" customWidth="1"/>
    <col min="10" max="40" width="8.7109375" style="93"/>
  </cols>
  <sheetData>
    <row r="1" spans="4:7" s="93" customFormat="1" x14ac:dyDescent="0.25"/>
    <row r="2" spans="4:7" ht="39.75" customHeight="1" x14ac:dyDescent="0.25">
      <c r="D2" s="460" t="s">
        <v>145</v>
      </c>
      <c r="E2" s="460"/>
      <c r="F2" s="460"/>
      <c r="G2" s="460"/>
    </row>
    <row r="3" spans="4:7" ht="15.75" customHeight="1" x14ac:dyDescent="0.25">
      <c r="D3" s="455" t="s">
        <v>146</v>
      </c>
      <c r="E3" s="455"/>
      <c r="F3" s="455"/>
      <c r="G3" s="455"/>
    </row>
    <row r="4" spans="4:7" ht="27.75" customHeight="1" x14ac:dyDescent="0.25">
      <c r="D4" s="106" t="s">
        <v>147</v>
      </c>
      <c r="E4" s="106" t="s">
        <v>148</v>
      </c>
      <c r="F4" s="106" t="s">
        <v>149</v>
      </c>
      <c r="G4" s="106" t="s">
        <v>150</v>
      </c>
    </row>
    <row r="5" spans="4:7" ht="19.5" customHeight="1" x14ac:dyDescent="0.25">
      <c r="D5" s="104" t="s">
        <v>151</v>
      </c>
      <c r="E5" s="247" t="str">
        <f>'🧾 Tributos Aduana'!F9</f>
        <v>-</v>
      </c>
      <c r="F5" s="105" t="s">
        <v>152</v>
      </c>
      <c r="G5" s="250" t="s">
        <v>153</v>
      </c>
    </row>
    <row r="6" spans="4:7" ht="19.5" customHeight="1" x14ac:dyDescent="0.25">
      <c r="D6" s="17" t="s">
        <v>154</v>
      </c>
      <c r="E6" s="364">
        <v>34.03</v>
      </c>
      <c r="F6" s="16" t="s">
        <v>152</v>
      </c>
      <c r="G6" s="251" t="s">
        <v>155</v>
      </c>
    </row>
    <row r="7" spans="4:7" ht="19.5" customHeight="1" x14ac:dyDescent="0.25">
      <c r="D7" s="12" t="s">
        <v>156</v>
      </c>
      <c r="E7" s="364">
        <v>100.69</v>
      </c>
      <c r="F7" s="16" t="s">
        <v>152</v>
      </c>
      <c r="G7" s="252" t="s">
        <v>157</v>
      </c>
    </row>
    <row r="8" spans="4:7" ht="19.5" customHeight="1" x14ac:dyDescent="0.25">
      <c r="D8" s="17" t="s">
        <v>158</v>
      </c>
      <c r="E8" s="364">
        <v>36.46</v>
      </c>
      <c r="F8" s="16" t="s">
        <v>152</v>
      </c>
      <c r="G8" s="251" t="s">
        <v>159</v>
      </c>
    </row>
    <row r="9" spans="4:7" ht="19.5" customHeight="1" x14ac:dyDescent="0.25">
      <c r="D9" s="12" t="s">
        <v>160</v>
      </c>
      <c r="E9" s="364">
        <v>48.61</v>
      </c>
      <c r="F9" s="16" t="s">
        <v>152</v>
      </c>
      <c r="G9" s="252" t="s">
        <v>161</v>
      </c>
    </row>
    <row r="10" spans="4:7" ht="19.5" customHeight="1" x14ac:dyDescent="0.25">
      <c r="D10" s="17" t="s">
        <v>162</v>
      </c>
      <c r="E10" s="364">
        <v>12.15</v>
      </c>
      <c r="F10" s="16" t="s">
        <v>152</v>
      </c>
      <c r="G10" s="251" t="s">
        <v>163</v>
      </c>
    </row>
    <row r="11" spans="4:7" ht="19.5" customHeight="1" x14ac:dyDescent="0.25">
      <c r="D11" s="12" t="s">
        <v>164</v>
      </c>
      <c r="E11" s="364">
        <v>70</v>
      </c>
      <c r="F11" s="16" t="s">
        <v>152</v>
      </c>
      <c r="G11" s="252" t="s">
        <v>165</v>
      </c>
    </row>
    <row r="12" spans="4:7" ht="19.5" customHeight="1" x14ac:dyDescent="0.25">
      <c r="D12" s="17" t="s">
        <v>166</v>
      </c>
      <c r="E12" s="364">
        <v>121.53</v>
      </c>
      <c r="F12" s="16" t="s">
        <v>152</v>
      </c>
      <c r="G12" s="251" t="s">
        <v>167</v>
      </c>
    </row>
    <row r="13" spans="4:7" ht="19.5" customHeight="1" x14ac:dyDescent="0.25">
      <c r="D13" s="12" t="s">
        <v>168</v>
      </c>
      <c r="E13" s="364">
        <v>62.5</v>
      </c>
      <c r="F13" s="16" t="s">
        <v>152</v>
      </c>
      <c r="G13" s="252" t="s">
        <v>169</v>
      </c>
    </row>
    <row r="14" spans="4:7" ht="19.5" customHeight="1" x14ac:dyDescent="0.25">
      <c r="D14" s="17" t="s">
        <v>170</v>
      </c>
      <c r="E14" s="364">
        <v>13.89</v>
      </c>
      <c r="F14" s="16" t="s">
        <v>152</v>
      </c>
      <c r="G14" s="251" t="s">
        <v>171</v>
      </c>
    </row>
    <row r="15" spans="4:7" ht="19.5" customHeight="1" x14ac:dyDescent="0.25">
      <c r="D15" s="12" t="s">
        <v>172</v>
      </c>
      <c r="E15" s="364">
        <v>41.67</v>
      </c>
      <c r="F15" s="16" t="s">
        <v>152</v>
      </c>
      <c r="G15" s="252" t="s">
        <v>173</v>
      </c>
    </row>
    <row r="16" spans="4:7" ht="19.5" customHeight="1" x14ac:dyDescent="0.25">
      <c r="D16" s="17" t="s">
        <v>174</v>
      </c>
      <c r="E16" s="364">
        <v>62.5</v>
      </c>
      <c r="F16" s="16" t="s">
        <v>152</v>
      </c>
      <c r="G16" s="251" t="s">
        <v>175</v>
      </c>
    </row>
    <row r="17" spans="4:9" ht="19.5" customHeight="1" x14ac:dyDescent="0.25">
      <c r="D17" s="12" t="s">
        <v>176</v>
      </c>
      <c r="E17" s="364">
        <v>104.17</v>
      </c>
      <c r="F17" s="16" t="s">
        <v>152</v>
      </c>
      <c r="G17" s="252" t="s">
        <v>177</v>
      </c>
    </row>
    <row r="18" spans="4:9" ht="19.5" customHeight="1" x14ac:dyDescent="0.25">
      <c r="D18" s="17" t="s">
        <v>178</v>
      </c>
      <c r="E18" s="364">
        <v>3.13</v>
      </c>
      <c r="F18" s="16" t="s">
        <v>152</v>
      </c>
      <c r="G18" s="251" t="s">
        <v>179</v>
      </c>
    </row>
    <row r="19" spans="4:9" ht="19.5" customHeight="1" x14ac:dyDescent="0.25">
      <c r="D19" s="12" t="s">
        <v>180</v>
      </c>
      <c r="E19" s="364">
        <v>121.53</v>
      </c>
      <c r="F19" s="16" t="s">
        <v>152</v>
      </c>
      <c r="G19" s="252" t="s">
        <v>181</v>
      </c>
    </row>
    <row r="20" spans="4:9" ht="19.5" customHeight="1" x14ac:dyDescent="0.25">
      <c r="D20" s="17" t="s">
        <v>182</v>
      </c>
      <c r="E20" s="248">
        <v>164.38</v>
      </c>
      <c r="F20" s="16" t="s">
        <v>152</v>
      </c>
      <c r="G20" s="251" t="s">
        <v>183</v>
      </c>
    </row>
    <row r="21" spans="4:9" ht="19.5" customHeight="1" x14ac:dyDescent="0.25">
      <c r="D21" s="12" t="s">
        <v>184</v>
      </c>
      <c r="E21" s="364">
        <v>120</v>
      </c>
      <c r="F21" s="18" t="s">
        <v>185</v>
      </c>
      <c r="G21" s="252" t="s">
        <v>186</v>
      </c>
    </row>
    <row r="22" spans="4:9" ht="19.5" customHeight="1" x14ac:dyDescent="0.25">
      <c r="D22" s="17" t="s">
        <v>187</v>
      </c>
      <c r="E22" s="364">
        <v>47.5</v>
      </c>
      <c r="F22" s="18" t="s">
        <v>185</v>
      </c>
      <c r="G22" s="251" t="s">
        <v>188</v>
      </c>
    </row>
    <row r="23" spans="4:9" ht="19.5" customHeight="1" x14ac:dyDescent="0.25">
      <c r="D23" s="12" t="s">
        <v>189</v>
      </c>
      <c r="E23" s="364">
        <v>0</v>
      </c>
      <c r="F23" s="18" t="s">
        <v>185</v>
      </c>
      <c r="G23" s="252" t="s">
        <v>190</v>
      </c>
    </row>
    <row r="24" spans="4:9" ht="19.5" customHeight="1" x14ac:dyDescent="0.25">
      <c r="D24" s="17" t="s">
        <v>191</v>
      </c>
      <c r="E24" s="364">
        <v>0</v>
      </c>
      <c r="F24" s="18" t="s">
        <v>185</v>
      </c>
      <c r="G24" s="251" t="s">
        <v>192</v>
      </c>
    </row>
    <row r="25" spans="4:9" ht="19.5" customHeight="1" x14ac:dyDescent="0.25">
      <c r="D25" s="12" t="s">
        <v>193</v>
      </c>
      <c r="E25" s="364">
        <v>0</v>
      </c>
      <c r="F25" s="18" t="s">
        <v>185</v>
      </c>
      <c r="G25" s="252" t="s">
        <v>194</v>
      </c>
    </row>
    <row r="26" spans="4:9" ht="21.75" customHeight="1" x14ac:dyDescent="0.25">
      <c r="D26" s="19" t="s">
        <v>195</v>
      </c>
      <c r="E26" s="20">
        <f>E6+E7+E8+E9+E10+E11+E12+E13+E14+E15+E16+E17+E18+E19+E20</f>
        <v>997.2399999999999</v>
      </c>
      <c r="F26" s="21">
        <f>SUM(E6:E20)*'📋 Datos Generales'!E28</f>
        <v>179.50319999999996</v>
      </c>
      <c r="G26" s="93"/>
    </row>
    <row r="27" spans="4:9" ht="21.75" customHeight="1" x14ac:dyDescent="0.25">
      <c r="D27" s="22" t="s">
        <v>196</v>
      </c>
      <c r="E27" s="23">
        <f>E21+E22+E23+E24+E25</f>
        <v>167.5</v>
      </c>
      <c r="F27" s="24" t="s">
        <v>197</v>
      </c>
      <c r="G27" s="93"/>
    </row>
    <row r="28" spans="4:9" ht="21.75" customHeight="1" x14ac:dyDescent="0.25">
      <c r="D28" s="103" t="s">
        <v>427</v>
      </c>
      <c r="E28" s="15">
        <f>'🧾 Tributos Aduana'!$F$14+'🧾 Tributos Aduana'!$F$17+E26+E27</f>
        <v>18588.77</v>
      </c>
      <c r="F28" s="93"/>
      <c r="G28" s="93"/>
    </row>
    <row r="29" spans="4:9" ht="21.75" customHeight="1" x14ac:dyDescent="0.25">
      <c r="D29" s="93"/>
      <c r="E29" s="93"/>
      <c r="F29" s="93"/>
      <c r="G29" s="93"/>
    </row>
    <row r="30" spans="4:9" ht="15" customHeight="1" x14ac:dyDescent="0.25">
      <c r="D30" s="93"/>
      <c r="E30" s="93"/>
      <c r="F30" s="93"/>
      <c r="G30" s="93"/>
      <c r="H30" s="93" t="s">
        <v>198</v>
      </c>
      <c r="I30" s="93" t="s">
        <v>199</v>
      </c>
    </row>
    <row r="31" spans="4:9" ht="15" customHeight="1" x14ac:dyDescent="0.25">
      <c r="D31" s="93"/>
      <c r="E31" s="93"/>
      <c r="F31" s="93"/>
      <c r="G31" s="93"/>
      <c r="H31" s="93" t="s">
        <v>200</v>
      </c>
      <c r="I31" s="102">
        <f>E26</f>
        <v>997.2399999999999</v>
      </c>
    </row>
    <row r="32" spans="4:9" ht="15" customHeight="1" x14ac:dyDescent="0.25">
      <c r="D32" s="93"/>
      <c r="E32" s="93"/>
      <c r="F32" s="93"/>
      <c r="G32" s="93"/>
      <c r="H32" s="93" t="s">
        <v>201</v>
      </c>
      <c r="I32" s="102">
        <f>E27</f>
        <v>167.5</v>
      </c>
    </row>
    <row r="33" spans="4:7" x14ac:dyDescent="0.25">
      <c r="D33" s="93"/>
      <c r="E33" s="93"/>
      <c r="F33" s="93"/>
      <c r="G33" s="93"/>
    </row>
    <row r="34" spans="4:7" x14ac:dyDescent="0.25">
      <c r="D34" s="93"/>
      <c r="E34" s="93"/>
      <c r="F34" s="93"/>
      <c r="G34" s="93"/>
    </row>
    <row r="35" spans="4:7" x14ac:dyDescent="0.25">
      <c r="D35" s="93"/>
      <c r="E35" s="93"/>
      <c r="F35" s="93"/>
      <c r="G35" s="93"/>
    </row>
    <row r="36" spans="4:7" x14ac:dyDescent="0.25">
      <c r="D36" s="93"/>
      <c r="E36" s="93"/>
      <c r="F36" s="93"/>
      <c r="G36" s="93"/>
    </row>
    <row r="37" spans="4:7" x14ac:dyDescent="0.25">
      <c r="D37" s="93"/>
      <c r="E37" s="93"/>
      <c r="F37" s="93"/>
      <c r="G37" s="93"/>
    </row>
    <row r="38" spans="4:7" x14ac:dyDescent="0.25">
      <c r="D38" s="93"/>
      <c r="E38" s="93"/>
      <c r="F38" s="93"/>
      <c r="G38" s="93"/>
    </row>
    <row r="39" spans="4:7" x14ac:dyDescent="0.25">
      <c r="D39" s="93"/>
      <c r="E39" s="93"/>
      <c r="F39" s="93"/>
      <c r="G39" s="93"/>
    </row>
    <row r="40" spans="4:7" x14ac:dyDescent="0.25">
      <c r="D40" s="93"/>
      <c r="E40" s="93"/>
      <c r="F40" s="93"/>
      <c r="G40" s="93"/>
    </row>
    <row r="41" spans="4:7" x14ac:dyDescent="0.25">
      <c r="D41" s="93"/>
      <c r="E41" s="93"/>
      <c r="F41" s="93"/>
      <c r="G41" s="93"/>
    </row>
    <row r="42" spans="4:7" x14ac:dyDescent="0.25">
      <c r="D42" s="93"/>
      <c r="E42" s="93"/>
      <c r="F42" s="93"/>
      <c r="G42" s="93"/>
    </row>
    <row r="43" spans="4:7" x14ac:dyDescent="0.25">
      <c r="D43" s="93"/>
      <c r="E43" s="93"/>
      <c r="F43" s="93"/>
      <c r="G43" s="93"/>
    </row>
    <row r="44" spans="4:7" x14ac:dyDescent="0.25">
      <c r="D44" s="93"/>
      <c r="E44" s="93"/>
      <c r="F44" s="93"/>
      <c r="G44" s="93"/>
    </row>
    <row r="45" spans="4:7" x14ac:dyDescent="0.25">
      <c r="D45" s="93"/>
      <c r="E45" s="93"/>
      <c r="F45" s="93"/>
      <c r="G45" s="93"/>
    </row>
    <row r="46" spans="4:7" x14ac:dyDescent="0.25">
      <c r="D46" s="93"/>
      <c r="E46" s="93"/>
      <c r="F46" s="93"/>
      <c r="G46" s="93"/>
    </row>
    <row r="47" spans="4:7" x14ac:dyDescent="0.25">
      <c r="D47" s="93"/>
      <c r="E47" s="93"/>
      <c r="F47" s="93"/>
      <c r="G47" s="93"/>
    </row>
    <row r="48" spans="4:7" x14ac:dyDescent="0.25">
      <c r="D48" s="93"/>
      <c r="E48" s="93"/>
      <c r="F48" s="93"/>
      <c r="G48" s="93"/>
    </row>
    <row r="49" spans="4:7" x14ac:dyDescent="0.25">
      <c r="D49" s="93"/>
      <c r="E49" s="93"/>
      <c r="F49" s="93"/>
      <c r="G49" s="93"/>
    </row>
    <row r="50" spans="4:7" x14ac:dyDescent="0.25">
      <c r="D50" s="93"/>
      <c r="E50" s="93"/>
      <c r="F50" s="93"/>
      <c r="G50" s="93"/>
    </row>
    <row r="51" spans="4:7" x14ac:dyDescent="0.25">
      <c r="D51" s="93"/>
      <c r="E51" s="93"/>
      <c r="F51" s="93"/>
      <c r="G51" s="93"/>
    </row>
    <row r="52" spans="4:7" x14ac:dyDescent="0.25">
      <c r="D52" s="93"/>
      <c r="E52" s="93"/>
      <c r="F52" s="93"/>
      <c r="G52" s="93"/>
    </row>
    <row r="53" spans="4:7" x14ac:dyDescent="0.25">
      <c r="D53" s="93"/>
      <c r="E53" s="93"/>
      <c r="F53" s="93"/>
      <c r="G53" s="93"/>
    </row>
    <row r="54" spans="4:7" x14ac:dyDescent="0.25">
      <c r="D54" s="93"/>
      <c r="E54" s="93"/>
      <c r="F54" s="93"/>
      <c r="G54" s="93"/>
    </row>
    <row r="55" spans="4:7" x14ac:dyDescent="0.25">
      <c r="D55" s="93"/>
      <c r="E55" s="93"/>
      <c r="F55" s="93"/>
      <c r="G55" s="93"/>
    </row>
    <row r="56" spans="4:7" x14ac:dyDescent="0.25">
      <c r="D56" s="93"/>
      <c r="E56" s="93"/>
      <c r="F56" s="93"/>
      <c r="G56" s="93"/>
    </row>
    <row r="57" spans="4:7" x14ac:dyDescent="0.25">
      <c r="D57" s="93"/>
      <c r="E57" s="93"/>
      <c r="F57" s="93"/>
      <c r="G57" s="93"/>
    </row>
    <row r="58" spans="4:7" x14ac:dyDescent="0.25">
      <c r="D58" s="93"/>
      <c r="E58" s="93"/>
      <c r="F58" s="93"/>
      <c r="G58" s="93"/>
    </row>
    <row r="59" spans="4:7" x14ac:dyDescent="0.25">
      <c r="D59" s="93"/>
      <c r="E59" s="93"/>
      <c r="F59" s="93"/>
      <c r="G59" s="93"/>
    </row>
    <row r="60" spans="4:7" x14ac:dyDescent="0.25">
      <c r="D60" s="93"/>
      <c r="E60" s="93"/>
      <c r="F60" s="93"/>
      <c r="G60" s="93"/>
    </row>
    <row r="61" spans="4:7" x14ac:dyDescent="0.25">
      <c r="D61" s="93"/>
      <c r="E61" s="93"/>
      <c r="F61" s="93"/>
      <c r="G61" s="93"/>
    </row>
    <row r="62" spans="4:7" x14ac:dyDescent="0.25">
      <c r="D62" s="93"/>
      <c r="E62" s="93"/>
      <c r="F62" s="93"/>
      <c r="G62" s="93"/>
    </row>
    <row r="63" spans="4:7" x14ac:dyDescent="0.25">
      <c r="D63" s="93"/>
      <c r="E63" s="93"/>
      <c r="F63" s="93"/>
      <c r="G63" s="93"/>
    </row>
    <row r="64" spans="4:7" x14ac:dyDescent="0.25">
      <c r="D64" s="93"/>
      <c r="E64" s="93"/>
      <c r="F64" s="93"/>
      <c r="G64" s="93"/>
    </row>
    <row r="65" spans="4:7" x14ac:dyDescent="0.25">
      <c r="D65" s="93"/>
      <c r="E65" s="93"/>
      <c r="F65" s="93"/>
      <c r="G65" s="93"/>
    </row>
    <row r="66" spans="4:7" x14ac:dyDescent="0.25">
      <c r="D66" s="93"/>
      <c r="E66" s="93"/>
      <c r="F66" s="93"/>
      <c r="G66" s="93"/>
    </row>
    <row r="67" spans="4:7" x14ac:dyDescent="0.25">
      <c r="D67" s="93"/>
      <c r="E67" s="93"/>
      <c r="F67" s="93"/>
      <c r="G67" s="93"/>
    </row>
    <row r="68" spans="4:7" x14ac:dyDescent="0.25">
      <c r="D68" s="93"/>
      <c r="E68" s="93"/>
      <c r="F68" s="93"/>
      <c r="G68" s="93"/>
    </row>
    <row r="69" spans="4:7" x14ac:dyDescent="0.25">
      <c r="D69" s="93"/>
      <c r="E69" s="93"/>
      <c r="F69" s="93"/>
      <c r="G69" s="93"/>
    </row>
    <row r="70" spans="4:7" x14ac:dyDescent="0.25">
      <c r="D70" s="93"/>
      <c r="E70" s="93"/>
      <c r="F70" s="93"/>
      <c r="G70" s="93"/>
    </row>
    <row r="71" spans="4:7" x14ac:dyDescent="0.25">
      <c r="D71" s="93"/>
      <c r="E71" s="93"/>
      <c r="F71" s="93"/>
      <c r="G71" s="93"/>
    </row>
    <row r="72" spans="4:7" x14ac:dyDescent="0.25">
      <c r="D72" s="93"/>
      <c r="E72" s="93"/>
      <c r="F72" s="93"/>
      <c r="G72" s="93"/>
    </row>
    <row r="73" spans="4:7" x14ac:dyDescent="0.25">
      <c r="D73" s="93"/>
      <c r="E73" s="93"/>
      <c r="F73" s="93"/>
      <c r="G73" s="93"/>
    </row>
    <row r="74" spans="4:7" x14ac:dyDescent="0.25">
      <c r="D74" s="93"/>
      <c r="E74" s="93"/>
      <c r="F74" s="93"/>
      <c r="G74" s="93"/>
    </row>
    <row r="75" spans="4:7" x14ac:dyDescent="0.25">
      <c r="D75" s="93"/>
      <c r="E75" s="93"/>
      <c r="F75" s="93"/>
      <c r="G75" s="93"/>
    </row>
    <row r="76" spans="4:7" x14ac:dyDescent="0.25">
      <c r="D76" s="93"/>
      <c r="E76" s="93"/>
      <c r="F76" s="93"/>
      <c r="G76" s="93"/>
    </row>
    <row r="77" spans="4:7" x14ac:dyDescent="0.25">
      <c r="D77" s="93"/>
      <c r="E77" s="93"/>
      <c r="F77" s="93"/>
      <c r="G77" s="93"/>
    </row>
    <row r="78" spans="4:7" x14ac:dyDescent="0.25">
      <c r="D78" s="93"/>
      <c r="E78" s="93"/>
      <c r="F78" s="93"/>
      <c r="G78" s="93"/>
    </row>
    <row r="79" spans="4:7" x14ac:dyDescent="0.25">
      <c r="D79" s="93"/>
      <c r="E79" s="93"/>
      <c r="F79" s="93"/>
      <c r="G79" s="93"/>
    </row>
    <row r="80" spans="4:7" x14ac:dyDescent="0.25">
      <c r="D80" s="93"/>
      <c r="E80" s="93"/>
      <c r="F80" s="93"/>
      <c r="G80" s="93"/>
    </row>
    <row r="81" spans="4:7" x14ac:dyDescent="0.25">
      <c r="D81" s="93"/>
      <c r="E81" s="93"/>
      <c r="F81" s="93"/>
      <c r="G81" s="93"/>
    </row>
    <row r="82" spans="4:7" x14ac:dyDescent="0.25">
      <c r="D82" s="93"/>
      <c r="E82" s="93"/>
      <c r="F82" s="93"/>
      <c r="G82" s="93"/>
    </row>
    <row r="83" spans="4:7" x14ac:dyDescent="0.25">
      <c r="D83" s="93"/>
      <c r="E83" s="93"/>
      <c r="F83" s="93"/>
      <c r="G83" s="93"/>
    </row>
    <row r="84" spans="4:7" x14ac:dyDescent="0.25">
      <c r="D84" s="93"/>
      <c r="E84" s="93"/>
      <c r="F84" s="93"/>
      <c r="G84" s="93"/>
    </row>
    <row r="85" spans="4:7" x14ac:dyDescent="0.25">
      <c r="D85" s="93"/>
      <c r="E85" s="93"/>
      <c r="F85" s="93"/>
      <c r="G85" s="93"/>
    </row>
    <row r="86" spans="4:7" x14ac:dyDescent="0.25">
      <c r="D86" s="93"/>
      <c r="E86" s="93"/>
      <c r="F86" s="93"/>
      <c r="G86" s="93"/>
    </row>
    <row r="87" spans="4:7" x14ac:dyDescent="0.25">
      <c r="D87" s="93"/>
      <c r="E87" s="93"/>
      <c r="F87" s="93"/>
      <c r="G87" s="93"/>
    </row>
    <row r="88" spans="4:7" x14ac:dyDescent="0.25">
      <c r="D88" s="93"/>
      <c r="E88" s="93"/>
      <c r="F88" s="93"/>
      <c r="G88" s="93"/>
    </row>
    <row r="89" spans="4:7" x14ac:dyDescent="0.25">
      <c r="D89" s="93"/>
      <c r="E89" s="93"/>
      <c r="F89" s="93"/>
      <c r="G89" s="93"/>
    </row>
    <row r="90" spans="4:7" x14ac:dyDescent="0.25">
      <c r="D90" s="93"/>
      <c r="E90" s="93"/>
      <c r="F90" s="93"/>
      <c r="G90" s="93"/>
    </row>
    <row r="91" spans="4:7" x14ac:dyDescent="0.25">
      <c r="D91" s="93"/>
      <c r="E91" s="93"/>
      <c r="F91" s="93"/>
      <c r="G91" s="93"/>
    </row>
    <row r="92" spans="4:7" x14ac:dyDescent="0.25">
      <c r="D92" s="93"/>
      <c r="E92" s="93"/>
      <c r="F92" s="93"/>
      <c r="G92" s="93"/>
    </row>
    <row r="93" spans="4:7" x14ac:dyDescent="0.25">
      <c r="D93" s="93"/>
      <c r="E93" s="93"/>
      <c r="F93" s="93"/>
      <c r="G93" s="93"/>
    </row>
    <row r="94" spans="4:7" x14ac:dyDescent="0.25">
      <c r="D94" s="93"/>
      <c r="E94" s="93"/>
      <c r="F94" s="93"/>
      <c r="G94" s="93"/>
    </row>
    <row r="95" spans="4:7" x14ac:dyDescent="0.25">
      <c r="D95" s="93"/>
      <c r="E95" s="93"/>
      <c r="F95" s="93"/>
      <c r="G95" s="93"/>
    </row>
    <row r="96" spans="4:7" x14ac:dyDescent="0.25">
      <c r="D96" s="93"/>
      <c r="E96" s="93"/>
      <c r="F96" s="93"/>
      <c r="G96" s="93"/>
    </row>
    <row r="97" spans="4:7" x14ac:dyDescent="0.25">
      <c r="D97" s="93"/>
      <c r="E97" s="93"/>
      <c r="F97" s="93"/>
      <c r="G97" s="93"/>
    </row>
    <row r="98" spans="4:7" x14ac:dyDescent="0.25">
      <c r="D98" s="93"/>
      <c r="E98" s="93"/>
      <c r="F98" s="93"/>
      <c r="G98" s="93"/>
    </row>
    <row r="99" spans="4:7" x14ac:dyDescent="0.25">
      <c r="D99" s="93"/>
      <c r="E99" s="93"/>
      <c r="F99" s="93"/>
      <c r="G99" s="93"/>
    </row>
    <row r="100" spans="4:7" x14ac:dyDescent="0.25">
      <c r="D100" s="93"/>
      <c r="E100" s="93"/>
      <c r="F100" s="93"/>
      <c r="G100" s="93"/>
    </row>
    <row r="101" spans="4:7" x14ac:dyDescent="0.25">
      <c r="D101" s="93"/>
      <c r="E101" s="93"/>
      <c r="F101" s="93"/>
      <c r="G101" s="93"/>
    </row>
    <row r="102" spans="4:7" x14ac:dyDescent="0.25">
      <c r="D102" s="93"/>
      <c r="E102" s="93"/>
      <c r="F102" s="93"/>
      <c r="G102" s="93"/>
    </row>
    <row r="103" spans="4:7" x14ac:dyDescent="0.25">
      <c r="D103" s="93"/>
      <c r="E103" s="93"/>
      <c r="F103" s="93"/>
      <c r="G103" s="93"/>
    </row>
    <row r="104" spans="4:7" x14ac:dyDescent="0.25">
      <c r="D104" s="93"/>
      <c r="E104" s="93"/>
      <c r="F104" s="93"/>
      <c r="G104" s="93"/>
    </row>
    <row r="105" spans="4:7" x14ac:dyDescent="0.25">
      <c r="D105" s="93"/>
      <c r="E105" s="93"/>
      <c r="F105" s="93"/>
      <c r="G105" s="93"/>
    </row>
    <row r="106" spans="4:7" x14ac:dyDescent="0.25">
      <c r="D106" s="93"/>
      <c r="E106" s="93"/>
      <c r="F106" s="93"/>
      <c r="G106" s="93"/>
    </row>
    <row r="107" spans="4:7" x14ac:dyDescent="0.25">
      <c r="D107" s="93"/>
      <c r="E107" s="93"/>
      <c r="F107" s="93"/>
      <c r="G107" s="93"/>
    </row>
    <row r="108" spans="4:7" x14ac:dyDescent="0.25">
      <c r="D108" s="93"/>
      <c r="E108" s="93"/>
      <c r="F108" s="93"/>
      <c r="G108" s="93"/>
    </row>
    <row r="109" spans="4:7" x14ac:dyDescent="0.25">
      <c r="D109" s="93"/>
      <c r="E109" s="93"/>
      <c r="F109" s="93"/>
      <c r="G109" s="93"/>
    </row>
    <row r="110" spans="4:7" x14ac:dyDescent="0.25">
      <c r="D110" s="93"/>
      <c r="E110" s="93"/>
      <c r="F110" s="93"/>
      <c r="G110" s="93"/>
    </row>
    <row r="111" spans="4:7" x14ac:dyDescent="0.25">
      <c r="D111" s="93"/>
      <c r="E111" s="93"/>
      <c r="F111" s="93"/>
      <c r="G111" s="93"/>
    </row>
    <row r="112" spans="4:7" x14ac:dyDescent="0.25">
      <c r="D112" s="93"/>
      <c r="E112" s="93"/>
      <c r="F112" s="93"/>
      <c r="G112" s="93"/>
    </row>
    <row r="113" spans="4:7" x14ac:dyDescent="0.25">
      <c r="D113" s="93"/>
      <c r="E113" s="93"/>
      <c r="F113" s="93"/>
      <c r="G113" s="93"/>
    </row>
    <row r="114" spans="4:7" x14ac:dyDescent="0.25">
      <c r="D114" s="93"/>
      <c r="E114" s="93"/>
      <c r="F114" s="93"/>
      <c r="G114" s="93"/>
    </row>
    <row r="115" spans="4:7" x14ac:dyDescent="0.25">
      <c r="D115" s="93"/>
      <c r="E115" s="93"/>
      <c r="F115" s="93"/>
      <c r="G115" s="93"/>
    </row>
    <row r="116" spans="4:7" x14ac:dyDescent="0.25">
      <c r="D116" s="93"/>
      <c r="E116" s="93"/>
      <c r="F116" s="93"/>
      <c r="G116" s="93"/>
    </row>
    <row r="117" spans="4:7" x14ac:dyDescent="0.25">
      <c r="D117" s="93"/>
      <c r="E117" s="93"/>
      <c r="F117" s="93"/>
      <c r="G117" s="93"/>
    </row>
    <row r="118" spans="4:7" x14ac:dyDescent="0.25">
      <c r="D118" s="93"/>
      <c r="E118" s="93"/>
      <c r="F118" s="93"/>
      <c r="G118" s="93"/>
    </row>
    <row r="119" spans="4:7" x14ac:dyDescent="0.25">
      <c r="D119" s="93"/>
      <c r="E119" s="93"/>
      <c r="F119" s="93"/>
      <c r="G119" s="93"/>
    </row>
    <row r="120" spans="4:7" x14ac:dyDescent="0.25">
      <c r="D120" s="93"/>
      <c r="E120" s="93"/>
      <c r="F120" s="93"/>
      <c r="G120" s="93"/>
    </row>
    <row r="121" spans="4:7" x14ac:dyDescent="0.25">
      <c r="D121" s="93"/>
      <c r="E121" s="93"/>
      <c r="F121" s="93"/>
      <c r="G121" s="93"/>
    </row>
    <row r="122" spans="4:7" x14ac:dyDescent="0.25">
      <c r="D122" s="93"/>
      <c r="E122" s="93"/>
      <c r="F122" s="93"/>
      <c r="G122" s="93"/>
    </row>
    <row r="123" spans="4:7" x14ac:dyDescent="0.25">
      <c r="D123" s="93"/>
      <c r="E123" s="93"/>
      <c r="F123" s="93"/>
      <c r="G123" s="93"/>
    </row>
    <row r="124" spans="4:7" x14ac:dyDescent="0.25">
      <c r="D124" s="93"/>
      <c r="E124" s="93"/>
      <c r="F124" s="93"/>
      <c r="G124" s="93"/>
    </row>
    <row r="125" spans="4:7" x14ac:dyDescent="0.25">
      <c r="D125" s="93"/>
      <c r="E125" s="93"/>
      <c r="F125" s="93"/>
      <c r="G125" s="93"/>
    </row>
    <row r="126" spans="4:7" x14ac:dyDescent="0.25">
      <c r="D126" s="93"/>
      <c r="E126" s="93"/>
      <c r="F126" s="93"/>
      <c r="G126" s="93"/>
    </row>
    <row r="127" spans="4:7" x14ac:dyDescent="0.25">
      <c r="D127" s="93"/>
      <c r="E127" s="93"/>
      <c r="F127" s="93"/>
      <c r="G127" s="93"/>
    </row>
    <row r="128" spans="4:7" x14ac:dyDescent="0.25">
      <c r="D128" s="93"/>
      <c r="E128" s="93"/>
      <c r="F128" s="93"/>
      <c r="G128" s="93"/>
    </row>
    <row r="129" spans="4:7" x14ac:dyDescent="0.25">
      <c r="D129" s="93"/>
      <c r="E129" s="93"/>
      <c r="F129" s="93"/>
      <c r="G129" s="93"/>
    </row>
    <row r="130" spans="4:7" x14ac:dyDescent="0.25">
      <c r="D130" s="93"/>
      <c r="E130" s="93"/>
      <c r="F130" s="93"/>
      <c r="G130" s="93"/>
    </row>
    <row r="131" spans="4:7" x14ac:dyDescent="0.25">
      <c r="D131" s="93"/>
      <c r="E131" s="93"/>
      <c r="F131" s="93"/>
      <c r="G131" s="93"/>
    </row>
    <row r="132" spans="4:7" x14ac:dyDescent="0.25">
      <c r="D132" s="93"/>
      <c r="E132" s="93"/>
      <c r="F132" s="93"/>
      <c r="G132" s="93"/>
    </row>
    <row r="133" spans="4:7" x14ac:dyDescent="0.25">
      <c r="D133" s="93"/>
      <c r="E133" s="93"/>
      <c r="F133" s="93"/>
      <c r="G133" s="93"/>
    </row>
    <row r="134" spans="4:7" x14ac:dyDescent="0.25">
      <c r="D134" s="93"/>
      <c r="E134" s="93"/>
      <c r="F134" s="93"/>
      <c r="G134" s="93"/>
    </row>
    <row r="135" spans="4:7" x14ac:dyDescent="0.25">
      <c r="D135" s="93"/>
      <c r="E135" s="93"/>
      <c r="F135" s="93"/>
      <c r="G135" s="93"/>
    </row>
    <row r="136" spans="4:7" x14ac:dyDescent="0.25">
      <c r="D136" s="93"/>
      <c r="E136" s="93"/>
      <c r="F136" s="93"/>
      <c r="G136" s="93"/>
    </row>
    <row r="137" spans="4:7" x14ac:dyDescent="0.25">
      <c r="D137" s="93"/>
      <c r="E137" s="93"/>
      <c r="F137" s="93"/>
      <c r="G137" s="93"/>
    </row>
    <row r="138" spans="4:7" x14ac:dyDescent="0.25">
      <c r="D138" s="93"/>
      <c r="E138" s="93"/>
      <c r="F138" s="93"/>
      <c r="G138" s="93"/>
    </row>
    <row r="139" spans="4:7" x14ac:dyDescent="0.25">
      <c r="D139" s="93"/>
      <c r="E139" s="93"/>
      <c r="F139" s="93"/>
      <c r="G139" s="93"/>
    </row>
    <row r="140" spans="4:7" x14ac:dyDescent="0.25">
      <c r="D140" s="93"/>
      <c r="E140" s="93"/>
      <c r="F140" s="93"/>
      <c r="G140" s="93"/>
    </row>
    <row r="141" spans="4:7" x14ac:dyDescent="0.25">
      <c r="D141" s="93"/>
      <c r="E141" s="93"/>
      <c r="F141" s="93"/>
      <c r="G141" s="93"/>
    </row>
    <row r="142" spans="4:7" x14ac:dyDescent="0.25">
      <c r="D142" s="93"/>
      <c r="E142" s="93"/>
      <c r="F142" s="93"/>
      <c r="G142" s="93"/>
    </row>
    <row r="143" spans="4:7" x14ac:dyDescent="0.25">
      <c r="D143" s="93"/>
      <c r="E143" s="93"/>
      <c r="F143" s="93"/>
      <c r="G143" s="93"/>
    </row>
    <row r="144" spans="4:7" x14ac:dyDescent="0.25">
      <c r="D144" s="93"/>
      <c r="E144" s="93"/>
      <c r="F144" s="93"/>
      <c r="G144" s="93"/>
    </row>
    <row r="145" spans="4:7" x14ac:dyDescent="0.25">
      <c r="D145" s="93"/>
      <c r="E145" s="93"/>
      <c r="F145" s="93"/>
      <c r="G145" s="93"/>
    </row>
    <row r="146" spans="4:7" x14ac:dyDescent="0.25">
      <c r="D146" s="93"/>
      <c r="E146" s="93"/>
      <c r="F146" s="93"/>
      <c r="G146" s="93"/>
    </row>
    <row r="147" spans="4:7" x14ac:dyDescent="0.25">
      <c r="D147" s="93"/>
      <c r="E147" s="93"/>
      <c r="F147" s="93"/>
      <c r="G147" s="93"/>
    </row>
    <row r="148" spans="4:7" x14ac:dyDescent="0.25">
      <c r="D148" s="93"/>
      <c r="E148" s="93"/>
      <c r="F148" s="93"/>
      <c r="G148" s="93"/>
    </row>
    <row r="149" spans="4:7" x14ac:dyDescent="0.25">
      <c r="D149" s="93"/>
      <c r="E149" s="93"/>
      <c r="F149" s="93"/>
      <c r="G149" s="93"/>
    </row>
    <row r="150" spans="4:7" x14ac:dyDescent="0.25">
      <c r="D150" s="93"/>
      <c r="E150" s="93"/>
      <c r="F150" s="93"/>
      <c r="G150" s="93"/>
    </row>
    <row r="151" spans="4:7" x14ac:dyDescent="0.25">
      <c r="D151" s="93"/>
      <c r="E151" s="93"/>
      <c r="F151" s="93"/>
      <c r="G151" s="93"/>
    </row>
    <row r="152" spans="4:7" x14ac:dyDescent="0.25">
      <c r="D152" s="93"/>
      <c r="E152" s="93"/>
      <c r="F152" s="93"/>
      <c r="G152" s="93"/>
    </row>
    <row r="153" spans="4:7" x14ac:dyDescent="0.25">
      <c r="D153" s="93"/>
      <c r="E153" s="93"/>
      <c r="F153" s="93"/>
      <c r="G153" s="93"/>
    </row>
    <row r="154" spans="4:7" x14ac:dyDescent="0.25">
      <c r="D154" s="93"/>
      <c r="E154" s="93"/>
      <c r="F154" s="93"/>
      <c r="G154" s="93"/>
    </row>
    <row r="155" spans="4:7" x14ac:dyDescent="0.25">
      <c r="D155" s="93"/>
      <c r="E155" s="93"/>
      <c r="F155" s="93"/>
      <c r="G155" s="93"/>
    </row>
    <row r="156" spans="4:7" x14ac:dyDescent="0.25">
      <c r="D156" s="93"/>
      <c r="E156" s="93"/>
      <c r="F156" s="93"/>
      <c r="G156" s="93"/>
    </row>
    <row r="157" spans="4:7" x14ac:dyDescent="0.25">
      <c r="D157" s="93"/>
      <c r="E157" s="93"/>
      <c r="F157" s="93"/>
      <c r="G157" s="93"/>
    </row>
    <row r="158" spans="4:7" x14ac:dyDescent="0.25">
      <c r="D158" s="93"/>
      <c r="E158" s="93"/>
      <c r="F158" s="93"/>
      <c r="G158" s="93"/>
    </row>
    <row r="159" spans="4:7" x14ac:dyDescent="0.25">
      <c r="D159" s="93"/>
      <c r="E159" s="93"/>
      <c r="F159" s="93"/>
      <c r="G159" s="93"/>
    </row>
    <row r="160" spans="4:7" x14ac:dyDescent="0.25">
      <c r="D160" s="93"/>
      <c r="E160" s="93"/>
      <c r="F160" s="93"/>
      <c r="G160" s="93"/>
    </row>
    <row r="161" spans="4:7" x14ac:dyDescent="0.25">
      <c r="D161" s="93"/>
      <c r="E161" s="93"/>
      <c r="F161" s="93"/>
      <c r="G161" s="93"/>
    </row>
    <row r="162" spans="4:7" x14ac:dyDescent="0.25">
      <c r="D162" s="93"/>
      <c r="E162" s="93"/>
      <c r="F162" s="93"/>
      <c r="G162" s="93"/>
    </row>
    <row r="163" spans="4:7" x14ac:dyDescent="0.25">
      <c r="D163" s="93"/>
      <c r="E163" s="93"/>
      <c r="F163" s="93"/>
      <c r="G163" s="93"/>
    </row>
    <row r="164" spans="4:7" x14ac:dyDescent="0.25">
      <c r="D164" s="93"/>
      <c r="E164" s="93"/>
      <c r="F164" s="93"/>
      <c r="G164" s="93"/>
    </row>
    <row r="165" spans="4:7" x14ac:dyDescent="0.25">
      <c r="D165" s="93"/>
      <c r="E165" s="93"/>
      <c r="F165" s="93"/>
      <c r="G165" s="93"/>
    </row>
    <row r="166" spans="4:7" x14ac:dyDescent="0.25">
      <c r="D166" s="93"/>
      <c r="E166" s="93"/>
      <c r="F166" s="93"/>
      <c r="G166" s="93"/>
    </row>
    <row r="167" spans="4:7" x14ac:dyDescent="0.25">
      <c r="D167" s="93"/>
      <c r="E167" s="93"/>
      <c r="F167" s="93"/>
      <c r="G167" s="93"/>
    </row>
    <row r="168" spans="4:7" x14ac:dyDescent="0.25">
      <c r="D168" s="93"/>
      <c r="E168" s="93"/>
      <c r="F168" s="93"/>
      <c r="G168" s="93"/>
    </row>
    <row r="169" spans="4:7" x14ac:dyDescent="0.25">
      <c r="D169" s="93"/>
      <c r="E169" s="93"/>
      <c r="F169" s="93"/>
      <c r="G169" s="93"/>
    </row>
    <row r="170" spans="4:7" x14ac:dyDescent="0.25">
      <c r="D170" s="93"/>
      <c r="E170" s="93"/>
      <c r="F170" s="93"/>
      <c r="G170" s="93"/>
    </row>
    <row r="171" spans="4:7" x14ac:dyDescent="0.25">
      <c r="D171" s="93"/>
      <c r="E171" s="93"/>
      <c r="F171" s="93"/>
      <c r="G171" s="93"/>
    </row>
    <row r="172" spans="4:7" x14ac:dyDescent="0.25">
      <c r="D172" s="93"/>
      <c r="E172" s="93"/>
      <c r="F172" s="93"/>
      <c r="G172" s="93"/>
    </row>
    <row r="173" spans="4:7" x14ac:dyDescent="0.25">
      <c r="D173" s="93"/>
      <c r="E173" s="93"/>
      <c r="F173" s="93"/>
      <c r="G173" s="93"/>
    </row>
    <row r="174" spans="4:7" x14ac:dyDescent="0.25">
      <c r="D174" s="93"/>
      <c r="E174" s="93"/>
      <c r="F174" s="93"/>
      <c r="G174" s="93"/>
    </row>
    <row r="175" spans="4:7" x14ac:dyDescent="0.25">
      <c r="D175" s="93"/>
      <c r="E175" s="93"/>
      <c r="F175" s="93"/>
      <c r="G175" s="93"/>
    </row>
    <row r="176" spans="4:7" x14ac:dyDescent="0.25">
      <c r="D176" s="93"/>
      <c r="E176" s="93"/>
      <c r="F176" s="93"/>
      <c r="G176" s="93"/>
    </row>
    <row r="177" spans="4:7" x14ac:dyDescent="0.25">
      <c r="D177" s="93"/>
      <c r="E177" s="93"/>
      <c r="F177" s="93"/>
      <c r="G177" s="93"/>
    </row>
    <row r="178" spans="4:7" x14ac:dyDescent="0.25">
      <c r="D178" s="93"/>
      <c r="E178" s="93"/>
      <c r="F178" s="93"/>
      <c r="G178" s="93"/>
    </row>
    <row r="179" spans="4:7" x14ac:dyDescent="0.25">
      <c r="D179" s="93"/>
      <c r="E179" s="93"/>
      <c r="F179" s="93"/>
      <c r="G179" s="93"/>
    </row>
    <row r="180" spans="4:7" x14ac:dyDescent="0.25">
      <c r="D180" s="93"/>
      <c r="E180" s="93"/>
      <c r="F180" s="93"/>
      <c r="G180" s="93"/>
    </row>
    <row r="181" spans="4:7" x14ac:dyDescent="0.25">
      <c r="D181" s="93"/>
      <c r="E181" s="93"/>
      <c r="F181" s="93"/>
      <c r="G181" s="93"/>
    </row>
    <row r="182" spans="4:7" x14ac:dyDescent="0.25">
      <c r="D182" s="93"/>
      <c r="E182" s="93"/>
      <c r="F182" s="93"/>
      <c r="G182" s="93"/>
    </row>
    <row r="183" spans="4:7" x14ac:dyDescent="0.25">
      <c r="D183" s="93"/>
      <c r="E183" s="93"/>
      <c r="F183" s="93"/>
      <c r="G183" s="93"/>
    </row>
    <row r="184" spans="4:7" x14ac:dyDescent="0.25">
      <c r="D184" s="93"/>
      <c r="E184" s="93"/>
      <c r="F184" s="93"/>
      <c r="G184" s="93"/>
    </row>
    <row r="185" spans="4:7" x14ac:dyDescent="0.25">
      <c r="D185" s="93"/>
      <c r="E185" s="93"/>
      <c r="F185" s="93"/>
      <c r="G185" s="93"/>
    </row>
    <row r="186" spans="4:7" x14ac:dyDescent="0.25">
      <c r="D186" s="93"/>
      <c r="E186" s="93"/>
      <c r="F186" s="93"/>
      <c r="G186" s="93"/>
    </row>
    <row r="187" spans="4:7" x14ac:dyDescent="0.25">
      <c r="D187" s="93"/>
      <c r="E187" s="93"/>
      <c r="F187" s="93"/>
      <c r="G187" s="93"/>
    </row>
    <row r="188" spans="4:7" x14ac:dyDescent="0.25">
      <c r="D188" s="93"/>
      <c r="E188" s="93"/>
      <c r="F188" s="93"/>
      <c r="G188" s="93"/>
    </row>
    <row r="189" spans="4:7" x14ac:dyDescent="0.25">
      <c r="D189" s="93"/>
      <c r="E189" s="93"/>
      <c r="F189" s="93"/>
      <c r="G189" s="93"/>
    </row>
    <row r="190" spans="4:7" x14ac:dyDescent="0.25">
      <c r="D190" s="93"/>
      <c r="E190" s="93"/>
      <c r="F190" s="93"/>
      <c r="G190" s="93"/>
    </row>
    <row r="191" spans="4:7" x14ac:dyDescent="0.25">
      <c r="D191" s="93"/>
      <c r="E191" s="93"/>
      <c r="F191" s="93"/>
      <c r="G191" s="93"/>
    </row>
    <row r="192" spans="4:7" x14ac:dyDescent="0.25">
      <c r="D192" s="93"/>
      <c r="E192" s="93"/>
      <c r="F192" s="93"/>
      <c r="G192" s="93"/>
    </row>
    <row r="193" spans="4:7" x14ac:dyDescent="0.25">
      <c r="D193" s="93"/>
      <c r="E193" s="93"/>
      <c r="F193" s="93"/>
      <c r="G193" s="93"/>
    </row>
    <row r="194" spans="4:7" x14ac:dyDescent="0.25">
      <c r="D194" s="93"/>
      <c r="E194" s="93"/>
      <c r="F194" s="93"/>
      <c r="G194" s="93"/>
    </row>
    <row r="195" spans="4:7" x14ac:dyDescent="0.25">
      <c r="D195" s="93"/>
      <c r="E195" s="93"/>
      <c r="F195" s="93"/>
      <c r="G195" s="93"/>
    </row>
    <row r="196" spans="4:7" x14ac:dyDescent="0.25">
      <c r="D196" s="93"/>
      <c r="E196" s="93"/>
      <c r="F196" s="93"/>
      <c r="G196" s="93"/>
    </row>
    <row r="197" spans="4:7" x14ac:dyDescent="0.25">
      <c r="D197" s="93"/>
      <c r="E197" s="93"/>
      <c r="F197" s="93"/>
      <c r="G197" s="93"/>
    </row>
    <row r="198" spans="4:7" x14ac:dyDescent="0.25">
      <c r="D198" s="93"/>
      <c r="E198" s="93"/>
      <c r="F198" s="93"/>
      <c r="G198" s="93"/>
    </row>
    <row r="199" spans="4:7" x14ac:dyDescent="0.25">
      <c r="D199" s="93"/>
      <c r="E199" s="93"/>
      <c r="F199" s="93"/>
      <c r="G199" s="93"/>
    </row>
    <row r="200" spans="4:7" x14ac:dyDescent="0.25">
      <c r="D200" s="93"/>
      <c r="E200" s="93"/>
      <c r="F200" s="93"/>
      <c r="G200" s="93"/>
    </row>
    <row r="201" spans="4:7" x14ac:dyDescent="0.25">
      <c r="D201" s="93"/>
      <c r="E201" s="93"/>
      <c r="F201" s="93"/>
      <c r="G201" s="93"/>
    </row>
    <row r="202" spans="4:7" x14ac:dyDescent="0.25">
      <c r="D202" s="93"/>
      <c r="E202" s="93"/>
      <c r="F202" s="93"/>
      <c r="G202" s="93"/>
    </row>
    <row r="203" spans="4:7" x14ac:dyDescent="0.25">
      <c r="D203" s="93"/>
      <c r="E203" s="93"/>
      <c r="F203" s="93"/>
      <c r="G203" s="93"/>
    </row>
    <row r="204" spans="4:7" x14ac:dyDescent="0.25">
      <c r="D204" s="93"/>
      <c r="E204" s="93"/>
      <c r="F204" s="93"/>
      <c r="G204" s="93"/>
    </row>
    <row r="205" spans="4:7" x14ac:dyDescent="0.25">
      <c r="D205" s="93"/>
      <c r="E205" s="93"/>
      <c r="F205" s="93"/>
      <c r="G205" s="93"/>
    </row>
    <row r="206" spans="4:7" x14ac:dyDescent="0.25">
      <c r="D206" s="93"/>
      <c r="E206" s="93"/>
      <c r="F206" s="93"/>
      <c r="G206" s="93"/>
    </row>
    <row r="207" spans="4:7" x14ac:dyDescent="0.25">
      <c r="D207" s="93"/>
      <c r="E207" s="93"/>
      <c r="F207" s="93"/>
      <c r="G207" s="93"/>
    </row>
    <row r="208" spans="4:7" x14ac:dyDescent="0.25">
      <c r="D208" s="93"/>
      <c r="E208" s="93"/>
      <c r="F208" s="93"/>
      <c r="G208" s="93"/>
    </row>
    <row r="209" spans="4:7" x14ac:dyDescent="0.25">
      <c r="D209" s="93"/>
      <c r="E209" s="93"/>
      <c r="F209" s="93"/>
      <c r="G209" s="93"/>
    </row>
    <row r="210" spans="4:7" x14ac:dyDescent="0.25">
      <c r="D210" s="93"/>
      <c r="E210" s="93"/>
      <c r="F210" s="93"/>
      <c r="G210" s="93"/>
    </row>
    <row r="211" spans="4:7" x14ac:dyDescent="0.25">
      <c r="D211" s="93"/>
      <c r="E211" s="93"/>
      <c r="F211" s="93"/>
      <c r="G211" s="93"/>
    </row>
    <row r="212" spans="4:7" x14ac:dyDescent="0.25">
      <c r="D212" s="93"/>
      <c r="E212" s="93"/>
      <c r="F212" s="93"/>
      <c r="G212" s="93"/>
    </row>
    <row r="213" spans="4:7" x14ac:dyDescent="0.25">
      <c r="D213" s="93"/>
      <c r="E213" s="93"/>
      <c r="F213" s="93"/>
      <c r="G213" s="93"/>
    </row>
    <row r="214" spans="4:7" x14ac:dyDescent="0.25">
      <c r="D214" s="93"/>
      <c r="E214" s="93"/>
      <c r="F214" s="93"/>
      <c r="G214" s="93"/>
    </row>
    <row r="215" spans="4:7" x14ac:dyDescent="0.25">
      <c r="D215" s="93"/>
      <c r="E215" s="93"/>
      <c r="F215" s="93"/>
      <c r="G215" s="93"/>
    </row>
    <row r="216" spans="4:7" x14ac:dyDescent="0.25">
      <c r="D216" s="93"/>
      <c r="E216" s="93"/>
      <c r="F216" s="93"/>
      <c r="G216" s="93"/>
    </row>
    <row r="217" spans="4:7" x14ac:dyDescent="0.25">
      <c r="D217" s="93"/>
      <c r="E217" s="93"/>
      <c r="F217" s="93"/>
      <c r="G217" s="93"/>
    </row>
    <row r="218" spans="4:7" x14ac:dyDescent="0.25">
      <c r="D218" s="93"/>
      <c r="E218" s="93"/>
      <c r="F218" s="93"/>
      <c r="G218" s="93"/>
    </row>
    <row r="219" spans="4:7" x14ac:dyDescent="0.25">
      <c r="D219" s="93"/>
      <c r="E219" s="93"/>
      <c r="F219" s="93"/>
      <c r="G219" s="93"/>
    </row>
    <row r="220" spans="4:7" x14ac:dyDescent="0.25">
      <c r="D220" s="93"/>
      <c r="E220" s="93"/>
      <c r="F220" s="93"/>
      <c r="G220" s="93"/>
    </row>
    <row r="221" spans="4:7" x14ac:dyDescent="0.25">
      <c r="D221" s="93"/>
      <c r="E221" s="93"/>
      <c r="F221" s="93"/>
      <c r="G221" s="93"/>
    </row>
    <row r="222" spans="4:7" x14ac:dyDescent="0.25">
      <c r="D222" s="93"/>
      <c r="E222" s="93"/>
      <c r="F222" s="93"/>
      <c r="G222" s="93"/>
    </row>
    <row r="223" spans="4:7" x14ac:dyDescent="0.25">
      <c r="D223" s="93"/>
      <c r="E223" s="93"/>
      <c r="F223" s="93"/>
      <c r="G223" s="93"/>
    </row>
    <row r="224" spans="4:7" x14ac:dyDescent="0.25">
      <c r="D224" s="93"/>
      <c r="E224" s="93"/>
      <c r="F224" s="93"/>
      <c r="G224" s="93"/>
    </row>
    <row r="225" spans="4:7" x14ac:dyDescent="0.25">
      <c r="D225" s="93"/>
      <c r="E225" s="93"/>
      <c r="F225" s="93"/>
      <c r="G225" s="93"/>
    </row>
    <row r="226" spans="4:7" x14ac:dyDescent="0.25">
      <c r="D226" s="93"/>
      <c r="E226" s="93"/>
      <c r="F226" s="93"/>
      <c r="G226" s="93"/>
    </row>
    <row r="227" spans="4:7" x14ac:dyDescent="0.25">
      <c r="D227" s="93"/>
      <c r="E227" s="93"/>
      <c r="F227" s="93"/>
      <c r="G227" s="93"/>
    </row>
    <row r="228" spans="4:7" x14ac:dyDescent="0.25">
      <c r="D228" s="93"/>
      <c r="E228" s="93"/>
      <c r="F228" s="93"/>
      <c r="G228" s="93"/>
    </row>
    <row r="229" spans="4:7" x14ac:dyDescent="0.25">
      <c r="D229" s="93"/>
      <c r="E229" s="93"/>
      <c r="F229" s="93"/>
      <c r="G229" s="93"/>
    </row>
    <row r="230" spans="4:7" x14ac:dyDescent="0.25">
      <c r="D230" s="93"/>
      <c r="E230" s="93"/>
      <c r="F230" s="93"/>
      <c r="G230" s="93"/>
    </row>
    <row r="231" spans="4:7" x14ac:dyDescent="0.25">
      <c r="D231" s="93"/>
      <c r="E231" s="93"/>
      <c r="F231" s="93"/>
      <c r="G231" s="93"/>
    </row>
    <row r="232" spans="4:7" x14ac:dyDescent="0.25">
      <c r="D232" s="93"/>
      <c r="E232" s="93"/>
      <c r="F232" s="93"/>
      <c r="G232" s="93"/>
    </row>
    <row r="233" spans="4:7" x14ac:dyDescent="0.25">
      <c r="D233" s="93"/>
      <c r="E233" s="93"/>
      <c r="F233" s="93"/>
      <c r="G233" s="93"/>
    </row>
    <row r="234" spans="4:7" x14ac:dyDescent="0.25">
      <c r="D234" s="93"/>
      <c r="E234" s="93"/>
      <c r="F234" s="93"/>
      <c r="G234" s="93"/>
    </row>
    <row r="235" spans="4:7" x14ac:dyDescent="0.25">
      <c r="D235" s="93"/>
      <c r="E235" s="93"/>
      <c r="F235" s="93"/>
      <c r="G235" s="93"/>
    </row>
    <row r="236" spans="4:7" x14ac:dyDescent="0.25">
      <c r="D236" s="93"/>
      <c r="E236" s="93"/>
      <c r="F236" s="93"/>
      <c r="G236" s="93"/>
    </row>
    <row r="237" spans="4:7" x14ac:dyDescent="0.25">
      <c r="D237" s="93"/>
      <c r="E237" s="93"/>
      <c r="F237" s="93"/>
      <c r="G237" s="93"/>
    </row>
    <row r="238" spans="4:7" x14ac:dyDescent="0.25">
      <c r="D238" s="93"/>
      <c r="E238" s="93"/>
      <c r="F238" s="93"/>
      <c r="G238" s="93"/>
    </row>
    <row r="239" spans="4:7" x14ac:dyDescent="0.25">
      <c r="D239" s="93"/>
      <c r="E239" s="93"/>
      <c r="F239" s="93"/>
      <c r="G239" s="93"/>
    </row>
    <row r="240" spans="4:7" x14ac:dyDescent="0.25">
      <c r="D240" s="93"/>
      <c r="E240" s="93"/>
      <c r="F240" s="93"/>
      <c r="G240" s="93"/>
    </row>
    <row r="241" spans="4:7" x14ac:dyDescent="0.25">
      <c r="D241" s="93"/>
      <c r="E241" s="93"/>
      <c r="F241" s="93"/>
      <c r="G241" s="93"/>
    </row>
    <row r="242" spans="4:7" x14ac:dyDescent="0.25">
      <c r="D242" s="93"/>
      <c r="E242" s="93"/>
      <c r="F242" s="93"/>
      <c r="G242" s="93"/>
    </row>
    <row r="243" spans="4:7" x14ac:dyDescent="0.25">
      <c r="D243" s="93"/>
      <c r="E243" s="93"/>
      <c r="F243" s="93"/>
      <c r="G243" s="93"/>
    </row>
    <row r="244" spans="4:7" x14ac:dyDescent="0.25">
      <c r="D244" s="93"/>
      <c r="E244" s="93"/>
      <c r="F244" s="93"/>
      <c r="G244" s="93"/>
    </row>
    <row r="245" spans="4:7" x14ac:dyDescent="0.25">
      <c r="D245" s="93"/>
      <c r="E245" s="93"/>
      <c r="F245" s="93"/>
      <c r="G245" s="93"/>
    </row>
    <row r="246" spans="4:7" x14ac:dyDescent="0.25">
      <c r="D246" s="93"/>
      <c r="E246" s="93"/>
      <c r="F246" s="93"/>
      <c r="G246" s="93"/>
    </row>
    <row r="247" spans="4:7" x14ac:dyDescent="0.25">
      <c r="D247" s="93"/>
      <c r="E247" s="93"/>
      <c r="F247" s="93"/>
      <c r="G247" s="93"/>
    </row>
    <row r="248" spans="4:7" x14ac:dyDescent="0.25">
      <c r="D248" s="93"/>
      <c r="E248" s="93"/>
      <c r="F248" s="93"/>
      <c r="G248" s="93"/>
    </row>
    <row r="249" spans="4:7" x14ac:dyDescent="0.25">
      <c r="D249" s="93"/>
      <c r="E249" s="93"/>
      <c r="F249" s="93"/>
      <c r="G249" s="93"/>
    </row>
    <row r="250" spans="4:7" x14ac:dyDescent="0.25">
      <c r="D250" s="93"/>
      <c r="E250" s="93"/>
      <c r="F250" s="93"/>
      <c r="G250" s="93"/>
    </row>
    <row r="251" spans="4:7" x14ac:dyDescent="0.25">
      <c r="D251" s="93"/>
      <c r="E251" s="93"/>
      <c r="F251" s="93"/>
      <c r="G251" s="93"/>
    </row>
    <row r="252" spans="4:7" x14ac:dyDescent="0.25">
      <c r="D252" s="93"/>
      <c r="E252" s="93"/>
      <c r="F252" s="93"/>
      <c r="G252" s="93"/>
    </row>
    <row r="253" spans="4:7" x14ac:dyDescent="0.25">
      <c r="D253" s="93"/>
      <c r="E253" s="93"/>
      <c r="F253" s="93"/>
      <c r="G253" s="93"/>
    </row>
    <row r="254" spans="4:7" x14ac:dyDescent="0.25">
      <c r="D254" s="93"/>
      <c r="E254" s="93"/>
      <c r="F254" s="93"/>
      <c r="G254" s="93"/>
    </row>
    <row r="255" spans="4:7" x14ac:dyDescent="0.25">
      <c r="D255" s="93"/>
      <c r="E255" s="93"/>
      <c r="F255" s="93"/>
      <c r="G255" s="93"/>
    </row>
    <row r="256" spans="4:7" x14ac:dyDescent="0.25">
      <c r="D256" s="93"/>
      <c r="E256" s="93"/>
      <c r="F256" s="93"/>
      <c r="G256" s="93"/>
    </row>
    <row r="257" spans="4:7" x14ac:dyDescent="0.25">
      <c r="D257" s="93"/>
      <c r="E257" s="93"/>
      <c r="F257" s="93"/>
      <c r="G257" s="93"/>
    </row>
    <row r="258" spans="4:7" x14ac:dyDescent="0.25">
      <c r="D258" s="93"/>
      <c r="E258" s="93"/>
      <c r="F258" s="93"/>
      <c r="G258" s="93"/>
    </row>
    <row r="259" spans="4:7" x14ac:dyDescent="0.25">
      <c r="D259" s="93"/>
      <c r="E259" s="93"/>
      <c r="F259" s="93"/>
      <c r="G259" s="93"/>
    </row>
    <row r="260" spans="4:7" x14ac:dyDescent="0.25">
      <c r="D260" s="93"/>
      <c r="E260" s="93"/>
      <c r="F260" s="93"/>
      <c r="G260" s="93"/>
    </row>
    <row r="261" spans="4:7" x14ac:dyDescent="0.25">
      <c r="D261" s="93"/>
      <c r="E261" s="93"/>
      <c r="F261" s="93"/>
      <c r="G261" s="93"/>
    </row>
    <row r="262" spans="4:7" x14ac:dyDescent="0.25">
      <c r="D262" s="93"/>
      <c r="E262" s="93"/>
      <c r="F262" s="93"/>
      <c r="G262" s="93"/>
    </row>
    <row r="263" spans="4:7" x14ac:dyDescent="0.25">
      <c r="D263" s="93"/>
      <c r="E263" s="93"/>
      <c r="F263" s="93"/>
      <c r="G263" s="93"/>
    </row>
    <row r="264" spans="4:7" x14ac:dyDescent="0.25">
      <c r="D264" s="93"/>
      <c r="E264" s="93"/>
      <c r="F264" s="93"/>
      <c r="G264" s="93"/>
    </row>
    <row r="265" spans="4:7" x14ac:dyDescent="0.25">
      <c r="D265" s="93"/>
      <c r="E265" s="93"/>
      <c r="F265" s="93"/>
      <c r="G265" s="93"/>
    </row>
    <row r="266" spans="4:7" x14ac:dyDescent="0.25">
      <c r="D266" s="93"/>
      <c r="E266" s="93"/>
      <c r="F266" s="93"/>
      <c r="G266" s="93"/>
    </row>
    <row r="267" spans="4:7" x14ac:dyDescent="0.25">
      <c r="D267" s="93"/>
      <c r="E267" s="93"/>
      <c r="F267" s="93"/>
      <c r="G267" s="93"/>
    </row>
    <row r="268" spans="4:7" x14ac:dyDescent="0.25">
      <c r="D268" s="93"/>
      <c r="E268" s="93"/>
      <c r="F268" s="93"/>
      <c r="G268" s="93"/>
    </row>
    <row r="269" spans="4:7" x14ac:dyDescent="0.25">
      <c r="D269" s="93"/>
      <c r="E269" s="93"/>
      <c r="F269" s="93"/>
      <c r="G269" s="93"/>
    </row>
    <row r="270" spans="4:7" x14ac:dyDescent="0.25">
      <c r="D270" s="93"/>
      <c r="E270" s="93"/>
      <c r="F270" s="93"/>
      <c r="G270" s="93"/>
    </row>
    <row r="271" spans="4:7" x14ac:dyDescent="0.25">
      <c r="D271" s="93"/>
      <c r="E271" s="93"/>
      <c r="F271" s="93"/>
      <c r="G271" s="93"/>
    </row>
    <row r="272" spans="4:7" x14ac:dyDescent="0.25">
      <c r="D272" s="93"/>
      <c r="E272" s="93"/>
      <c r="F272" s="93"/>
      <c r="G272" s="93"/>
    </row>
    <row r="273" spans="4:7" x14ac:dyDescent="0.25">
      <c r="D273" s="93"/>
      <c r="E273" s="93"/>
      <c r="F273" s="93"/>
      <c r="G273" s="93"/>
    </row>
    <row r="274" spans="4:7" x14ac:dyDescent="0.25">
      <c r="D274" s="93"/>
      <c r="E274" s="93"/>
      <c r="F274" s="93"/>
      <c r="G274" s="93"/>
    </row>
    <row r="275" spans="4:7" x14ac:dyDescent="0.25">
      <c r="D275" s="93"/>
      <c r="E275" s="93"/>
      <c r="F275" s="93"/>
      <c r="G275" s="93"/>
    </row>
    <row r="276" spans="4:7" x14ac:dyDescent="0.25">
      <c r="D276" s="93"/>
      <c r="E276" s="93"/>
      <c r="F276" s="93"/>
      <c r="G276" s="93"/>
    </row>
    <row r="277" spans="4:7" x14ac:dyDescent="0.25">
      <c r="D277" s="93"/>
      <c r="E277" s="93"/>
      <c r="F277" s="93"/>
      <c r="G277" s="93"/>
    </row>
    <row r="278" spans="4:7" x14ac:dyDescent="0.25">
      <c r="D278" s="93"/>
      <c r="E278" s="93"/>
      <c r="F278" s="93"/>
      <c r="G278" s="93"/>
    </row>
    <row r="279" spans="4:7" x14ac:dyDescent="0.25">
      <c r="D279" s="93"/>
      <c r="E279" s="93"/>
      <c r="F279" s="93"/>
      <c r="G279" s="93"/>
    </row>
    <row r="280" spans="4:7" x14ac:dyDescent="0.25">
      <c r="D280" s="93"/>
      <c r="E280" s="93"/>
      <c r="F280" s="93"/>
      <c r="G280" s="93"/>
    </row>
    <row r="281" spans="4:7" x14ac:dyDescent="0.25">
      <c r="D281" s="93"/>
      <c r="E281" s="93"/>
      <c r="F281" s="93"/>
      <c r="G281" s="93"/>
    </row>
    <row r="282" spans="4:7" x14ac:dyDescent="0.25">
      <c r="D282" s="93"/>
      <c r="E282" s="93"/>
      <c r="F282" s="93"/>
      <c r="G282" s="93"/>
    </row>
    <row r="283" spans="4:7" x14ac:dyDescent="0.25">
      <c r="D283" s="93"/>
      <c r="E283" s="93"/>
      <c r="F283" s="93"/>
      <c r="G283" s="93"/>
    </row>
    <row r="284" spans="4:7" x14ac:dyDescent="0.25">
      <c r="D284" s="93"/>
      <c r="E284" s="93"/>
      <c r="F284" s="93"/>
      <c r="G284" s="93"/>
    </row>
    <row r="285" spans="4:7" x14ac:dyDescent="0.25">
      <c r="D285" s="93"/>
      <c r="E285" s="93"/>
      <c r="F285" s="93"/>
      <c r="G285" s="93"/>
    </row>
    <row r="286" spans="4:7" x14ac:dyDescent="0.25">
      <c r="D286" s="93"/>
      <c r="E286" s="93"/>
      <c r="F286" s="93"/>
      <c r="G286" s="93"/>
    </row>
    <row r="287" spans="4:7" x14ac:dyDescent="0.25">
      <c r="D287" s="93"/>
      <c r="E287" s="93"/>
      <c r="F287" s="93"/>
      <c r="G287" s="93"/>
    </row>
    <row r="288" spans="4:7" x14ac:dyDescent="0.25">
      <c r="D288" s="93"/>
      <c r="E288" s="93"/>
      <c r="F288" s="93"/>
      <c r="G288" s="93"/>
    </row>
    <row r="289" spans="4:7" x14ac:dyDescent="0.25">
      <c r="D289" s="93"/>
      <c r="E289" s="93"/>
      <c r="F289" s="93"/>
      <c r="G289" s="93"/>
    </row>
    <row r="290" spans="4:7" x14ac:dyDescent="0.25">
      <c r="D290" s="93"/>
      <c r="E290" s="93"/>
      <c r="F290" s="93"/>
      <c r="G290" s="93"/>
    </row>
    <row r="291" spans="4:7" x14ac:dyDescent="0.25">
      <c r="D291" s="93"/>
      <c r="E291" s="93"/>
      <c r="F291" s="93"/>
      <c r="G291" s="93"/>
    </row>
    <row r="292" spans="4:7" x14ac:dyDescent="0.25">
      <c r="D292" s="93"/>
      <c r="E292" s="93"/>
      <c r="F292" s="93"/>
      <c r="G292" s="93"/>
    </row>
    <row r="293" spans="4:7" x14ac:dyDescent="0.25">
      <c r="D293" s="93"/>
      <c r="E293" s="93"/>
      <c r="F293" s="93"/>
      <c r="G293" s="93"/>
    </row>
    <row r="294" spans="4:7" x14ac:dyDescent="0.25">
      <c r="D294" s="93"/>
      <c r="E294" s="93"/>
      <c r="F294" s="93"/>
      <c r="G294" s="93"/>
    </row>
    <row r="295" spans="4:7" x14ac:dyDescent="0.25">
      <c r="D295" s="93"/>
      <c r="E295" s="93"/>
      <c r="F295" s="93"/>
      <c r="G295" s="93"/>
    </row>
    <row r="296" spans="4:7" x14ac:dyDescent="0.25">
      <c r="D296" s="93"/>
      <c r="E296" s="93"/>
      <c r="F296" s="93"/>
      <c r="G296" s="93"/>
    </row>
    <row r="297" spans="4:7" x14ac:dyDescent="0.25">
      <c r="D297" s="93"/>
      <c r="E297" s="93"/>
      <c r="F297" s="93"/>
      <c r="G297" s="93"/>
    </row>
    <row r="298" spans="4:7" x14ac:dyDescent="0.25">
      <c r="D298" s="93"/>
      <c r="E298" s="93"/>
      <c r="F298" s="93"/>
      <c r="G298" s="93"/>
    </row>
    <row r="299" spans="4:7" x14ac:dyDescent="0.25">
      <c r="D299" s="93"/>
      <c r="E299" s="93"/>
      <c r="F299" s="93"/>
      <c r="G299" s="93"/>
    </row>
    <row r="300" spans="4:7" x14ac:dyDescent="0.25">
      <c r="D300" s="93"/>
      <c r="E300" s="93"/>
      <c r="F300" s="93"/>
      <c r="G300" s="93"/>
    </row>
    <row r="301" spans="4:7" x14ac:dyDescent="0.25">
      <c r="D301" s="93"/>
      <c r="E301" s="93"/>
      <c r="F301" s="93"/>
      <c r="G301" s="93"/>
    </row>
    <row r="302" spans="4:7" x14ac:dyDescent="0.25">
      <c r="D302" s="93"/>
      <c r="E302" s="93"/>
      <c r="F302" s="93"/>
      <c r="G302" s="93"/>
    </row>
    <row r="303" spans="4:7" x14ac:dyDescent="0.25">
      <c r="D303" s="93"/>
      <c r="E303" s="93"/>
      <c r="F303" s="93"/>
      <c r="G303" s="93"/>
    </row>
    <row r="304" spans="4:7" x14ac:dyDescent="0.25">
      <c r="D304" s="93"/>
      <c r="E304" s="93"/>
      <c r="F304" s="93"/>
      <c r="G304" s="93"/>
    </row>
    <row r="305" spans="4:7" x14ac:dyDescent="0.25">
      <c r="D305" s="93"/>
      <c r="E305" s="93"/>
      <c r="F305" s="93"/>
      <c r="G305" s="93"/>
    </row>
    <row r="306" spans="4:7" x14ac:dyDescent="0.25">
      <c r="D306" s="93"/>
      <c r="E306" s="93"/>
      <c r="F306" s="93"/>
      <c r="G306" s="93"/>
    </row>
    <row r="307" spans="4:7" x14ac:dyDescent="0.25">
      <c r="D307" s="93"/>
      <c r="E307" s="93"/>
      <c r="F307" s="93"/>
      <c r="G307" s="93"/>
    </row>
    <row r="308" spans="4:7" x14ac:dyDescent="0.25">
      <c r="D308" s="93"/>
      <c r="E308" s="93"/>
      <c r="F308" s="93"/>
      <c r="G308" s="93"/>
    </row>
    <row r="309" spans="4:7" x14ac:dyDescent="0.25">
      <c r="D309" s="93"/>
      <c r="E309" s="93"/>
      <c r="F309" s="93"/>
      <c r="G309" s="93"/>
    </row>
    <row r="310" spans="4:7" x14ac:dyDescent="0.25">
      <c r="D310" s="93"/>
      <c r="E310" s="93"/>
      <c r="F310" s="93"/>
      <c r="G310" s="93"/>
    </row>
    <row r="311" spans="4:7" x14ac:dyDescent="0.25">
      <c r="D311" s="93"/>
      <c r="E311" s="93"/>
      <c r="F311" s="93"/>
      <c r="G311" s="93"/>
    </row>
    <row r="312" spans="4:7" x14ac:dyDescent="0.25">
      <c r="D312" s="93"/>
      <c r="E312" s="93"/>
      <c r="F312" s="93"/>
      <c r="G312" s="93"/>
    </row>
    <row r="313" spans="4:7" x14ac:dyDescent="0.25">
      <c r="D313" s="93"/>
      <c r="E313" s="93"/>
      <c r="F313" s="93"/>
      <c r="G313" s="93"/>
    </row>
    <row r="314" spans="4:7" x14ac:dyDescent="0.25">
      <c r="D314" s="93"/>
      <c r="E314" s="93"/>
      <c r="F314" s="93"/>
      <c r="G314" s="93"/>
    </row>
    <row r="315" spans="4:7" x14ac:dyDescent="0.25">
      <c r="D315" s="93"/>
      <c r="E315" s="93"/>
      <c r="F315" s="93"/>
      <c r="G315" s="93"/>
    </row>
    <row r="316" spans="4:7" x14ac:dyDescent="0.25">
      <c r="D316" s="93"/>
      <c r="E316" s="93"/>
      <c r="F316" s="93"/>
      <c r="G316" s="93"/>
    </row>
    <row r="317" spans="4:7" x14ac:dyDescent="0.25">
      <c r="D317" s="93"/>
      <c r="E317" s="93"/>
      <c r="F317" s="93"/>
      <c r="G317" s="93"/>
    </row>
    <row r="318" spans="4:7" x14ac:dyDescent="0.25">
      <c r="D318" s="93"/>
      <c r="E318" s="93"/>
      <c r="F318" s="93"/>
      <c r="G318" s="93"/>
    </row>
    <row r="319" spans="4:7" x14ac:dyDescent="0.25">
      <c r="D319" s="93"/>
      <c r="E319" s="93"/>
      <c r="F319" s="93"/>
      <c r="G319" s="93"/>
    </row>
    <row r="320" spans="4:7" x14ac:dyDescent="0.25">
      <c r="D320" s="93"/>
      <c r="E320" s="93"/>
      <c r="F320" s="93"/>
      <c r="G320" s="93"/>
    </row>
    <row r="321" spans="4:7" x14ac:dyDescent="0.25">
      <c r="D321" s="93"/>
      <c r="E321" s="93"/>
      <c r="F321" s="93"/>
      <c r="G321" s="93"/>
    </row>
    <row r="322" spans="4:7" x14ac:dyDescent="0.25">
      <c r="D322" s="93"/>
      <c r="E322" s="93"/>
      <c r="F322" s="93"/>
      <c r="G322" s="93"/>
    </row>
    <row r="323" spans="4:7" x14ac:dyDescent="0.25">
      <c r="D323" s="93"/>
      <c r="E323" s="93"/>
      <c r="F323" s="93"/>
      <c r="G323" s="93"/>
    </row>
    <row r="324" spans="4:7" x14ac:dyDescent="0.25">
      <c r="D324" s="93"/>
      <c r="E324" s="93"/>
      <c r="F324" s="93"/>
      <c r="G324" s="93"/>
    </row>
    <row r="325" spans="4:7" x14ac:dyDescent="0.25">
      <c r="D325" s="93"/>
      <c r="E325" s="93"/>
      <c r="F325" s="93"/>
      <c r="G325" s="93"/>
    </row>
    <row r="326" spans="4:7" x14ac:dyDescent="0.25">
      <c r="D326" s="93"/>
      <c r="E326" s="93"/>
      <c r="F326" s="93"/>
      <c r="G326" s="93"/>
    </row>
    <row r="327" spans="4:7" x14ac:dyDescent="0.25">
      <c r="D327" s="93"/>
      <c r="E327" s="93"/>
      <c r="F327" s="93"/>
      <c r="G327" s="93"/>
    </row>
    <row r="328" spans="4:7" x14ac:dyDescent="0.25">
      <c r="D328" s="93"/>
      <c r="E328" s="93"/>
      <c r="F328" s="93"/>
      <c r="G328" s="93"/>
    </row>
    <row r="329" spans="4:7" x14ac:dyDescent="0.25">
      <c r="D329" s="93"/>
      <c r="E329" s="93"/>
      <c r="F329" s="93"/>
      <c r="G329" s="93"/>
    </row>
    <row r="330" spans="4:7" x14ac:dyDescent="0.25">
      <c r="D330" s="93"/>
      <c r="E330" s="93"/>
      <c r="F330" s="93"/>
      <c r="G330" s="93"/>
    </row>
    <row r="331" spans="4:7" x14ac:dyDescent="0.25">
      <c r="D331" s="93"/>
      <c r="E331" s="93"/>
      <c r="F331" s="93"/>
      <c r="G331" s="93"/>
    </row>
    <row r="332" spans="4:7" x14ac:dyDescent="0.25">
      <c r="D332" s="93"/>
      <c r="E332" s="93"/>
      <c r="F332" s="93"/>
      <c r="G332" s="93"/>
    </row>
    <row r="333" spans="4:7" x14ac:dyDescent="0.25">
      <c r="D333" s="93"/>
      <c r="E333" s="93"/>
      <c r="F333" s="93"/>
      <c r="G333" s="93"/>
    </row>
    <row r="334" spans="4:7" x14ac:dyDescent="0.25">
      <c r="D334" s="93"/>
      <c r="E334" s="93"/>
      <c r="F334" s="93"/>
      <c r="G334" s="93"/>
    </row>
    <row r="335" spans="4:7" x14ac:dyDescent="0.25">
      <c r="D335" s="93"/>
      <c r="E335" s="93"/>
      <c r="F335" s="93"/>
      <c r="G335" s="93"/>
    </row>
    <row r="336" spans="4:7" x14ac:dyDescent="0.25">
      <c r="D336" s="93"/>
      <c r="E336" s="93"/>
      <c r="F336" s="93"/>
      <c r="G336" s="93"/>
    </row>
    <row r="337" spans="4:7" x14ac:dyDescent="0.25">
      <c r="D337" s="93"/>
      <c r="E337" s="93"/>
      <c r="F337" s="93"/>
      <c r="G337" s="93"/>
    </row>
    <row r="338" spans="4:7" x14ac:dyDescent="0.25">
      <c r="D338" s="93"/>
      <c r="E338" s="93"/>
      <c r="F338" s="93"/>
      <c r="G338" s="93"/>
    </row>
    <row r="339" spans="4:7" x14ac:dyDescent="0.25">
      <c r="D339" s="93"/>
      <c r="E339" s="93"/>
      <c r="F339" s="93"/>
      <c r="G339" s="93"/>
    </row>
    <row r="340" spans="4:7" x14ac:dyDescent="0.25">
      <c r="D340" s="93"/>
      <c r="E340" s="93"/>
      <c r="F340" s="93"/>
      <c r="G340" s="93"/>
    </row>
    <row r="341" spans="4:7" x14ac:dyDescent="0.25">
      <c r="D341" s="93"/>
      <c r="E341" s="93"/>
      <c r="F341" s="93"/>
      <c r="G341" s="93"/>
    </row>
    <row r="342" spans="4:7" x14ac:dyDescent="0.25">
      <c r="D342" s="93"/>
      <c r="E342" s="93"/>
      <c r="F342" s="93"/>
      <c r="G342" s="93"/>
    </row>
    <row r="343" spans="4:7" x14ac:dyDescent="0.25">
      <c r="D343" s="93"/>
      <c r="E343" s="93"/>
      <c r="F343" s="93"/>
      <c r="G343" s="93"/>
    </row>
    <row r="344" spans="4:7" x14ac:dyDescent="0.25">
      <c r="D344" s="93"/>
      <c r="E344" s="93"/>
      <c r="F344" s="93"/>
      <c r="G344" s="93"/>
    </row>
    <row r="345" spans="4:7" x14ac:dyDescent="0.25">
      <c r="D345" s="93"/>
      <c r="E345" s="93"/>
      <c r="F345" s="93"/>
      <c r="G345" s="93"/>
    </row>
    <row r="346" spans="4:7" x14ac:dyDescent="0.25">
      <c r="D346" s="93"/>
      <c r="E346" s="93"/>
      <c r="F346" s="93"/>
      <c r="G346" s="93"/>
    </row>
    <row r="347" spans="4:7" x14ac:dyDescent="0.25">
      <c r="D347" s="93"/>
      <c r="E347" s="93"/>
      <c r="F347" s="93"/>
      <c r="G347" s="93"/>
    </row>
    <row r="348" spans="4:7" x14ac:dyDescent="0.25">
      <c r="D348" s="93"/>
      <c r="E348" s="93"/>
      <c r="F348" s="93"/>
      <c r="G348" s="93"/>
    </row>
    <row r="349" spans="4:7" x14ac:dyDescent="0.25">
      <c r="D349" s="93"/>
      <c r="E349" s="93"/>
      <c r="F349" s="93"/>
      <c r="G349" s="93"/>
    </row>
    <row r="350" spans="4:7" x14ac:dyDescent="0.25">
      <c r="D350" s="93"/>
      <c r="E350" s="93"/>
      <c r="F350" s="93"/>
      <c r="G350" s="93"/>
    </row>
    <row r="351" spans="4:7" x14ac:dyDescent="0.25">
      <c r="D351" s="93"/>
      <c r="E351" s="93"/>
      <c r="F351" s="93"/>
      <c r="G351" s="93"/>
    </row>
    <row r="352" spans="4:7" x14ac:dyDescent="0.25">
      <c r="D352" s="93"/>
      <c r="E352" s="93"/>
      <c r="F352" s="93"/>
      <c r="G352" s="93"/>
    </row>
    <row r="353" spans="4:7" x14ac:dyDescent="0.25">
      <c r="D353" s="93"/>
      <c r="E353" s="93"/>
      <c r="F353" s="93"/>
      <c r="G353" s="93"/>
    </row>
    <row r="354" spans="4:7" x14ac:dyDescent="0.25">
      <c r="D354" s="93"/>
      <c r="E354" s="93"/>
      <c r="F354" s="93"/>
      <c r="G354" s="93"/>
    </row>
    <row r="355" spans="4:7" x14ac:dyDescent="0.25">
      <c r="D355" s="93"/>
      <c r="E355" s="93"/>
      <c r="F355" s="93"/>
      <c r="G355" s="93"/>
    </row>
    <row r="356" spans="4:7" x14ac:dyDescent="0.25">
      <c r="D356" s="93"/>
      <c r="E356" s="93"/>
      <c r="F356" s="93"/>
      <c r="G356" s="93"/>
    </row>
    <row r="357" spans="4:7" x14ac:dyDescent="0.25">
      <c r="D357" s="93"/>
      <c r="E357" s="93"/>
      <c r="F357" s="93"/>
      <c r="G357" s="93"/>
    </row>
    <row r="358" spans="4:7" x14ac:dyDescent="0.25">
      <c r="D358" s="93"/>
      <c r="E358" s="93"/>
      <c r="F358" s="93"/>
      <c r="G358" s="93"/>
    </row>
    <row r="359" spans="4:7" x14ac:dyDescent="0.25">
      <c r="D359" s="93"/>
      <c r="E359" s="93"/>
      <c r="F359" s="93"/>
      <c r="G359" s="93"/>
    </row>
    <row r="360" spans="4:7" x14ac:dyDescent="0.25">
      <c r="D360" s="93"/>
      <c r="E360" s="93"/>
      <c r="F360" s="93"/>
      <c r="G360" s="93"/>
    </row>
    <row r="361" spans="4:7" x14ac:dyDescent="0.25">
      <c r="D361" s="93"/>
      <c r="E361" s="93"/>
      <c r="F361" s="93"/>
      <c r="G361" s="93"/>
    </row>
    <row r="362" spans="4:7" x14ac:dyDescent="0.25">
      <c r="D362" s="93"/>
      <c r="E362" s="93"/>
      <c r="F362" s="93"/>
      <c r="G362" s="93"/>
    </row>
    <row r="363" spans="4:7" x14ac:dyDescent="0.25">
      <c r="D363" s="93"/>
      <c r="E363" s="93"/>
      <c r="F363" s="93"/>
      <c r="G363" s="93"/>
    </row>
    <row r="364" spans="4:7" x14ac:dyDescent="0.25">
      <c r="D364" s="93"/>
      <c r="E364" s="93"/>
      <c r="F364" s="93"/>
      <c r="G364" s="93"/>
    </row>
    <row r="365" spans="4:7" x14ac:dyDescent="0.25">
      <c r="D365" s="93"/>
      <c r="E365" s="93"/>
      <c r="F365" s="93"/>
      <c r="G365" s="93"/>
    </row>
    <row r="366" spans="4:7" x14ac:dyDescent="0.25">
      <c r="D366" s="93"/>
      <c r="E366" s="93"/>
      <c r="F366" s="93"/>
      <c r="G366" s="93"/>
    </row>
    <row r="367" spans="4:7" x14ac:dyDescent="0.25">
      <c r="D367" s="93"/>
      <c r="E367" s="93"/>
      <c r="F367" s="93"/>
      <c r="G367" s="93"/>
    </row>
    <row r="368" spans="4:7" x14ac:dyDescent="0.25">
      <c r="D368" s="93"/>
      <c r="E368" s="93"/>
      <c r="F368" s="93"/>
      <c r="G368" s="93"/>
    </row>
    <row r="369" spans="4:7" x14ac:dyDescent="0.25">
      <c r="D369" s="93"/>
      <c r="E369" s="93"/>
      <c r="F369" s="93"/>
      <c r="G369" s="93"/>
    </row>
    <row r="370" spans="4:7" x14ac:dyDescent="0.25">
      <c r="D370" s="93"/>
      <c r="E370" s="93"/>
      <c r="F370" s="93"/>
      <c r="G370" s="93"/>
    </row>
    <row r="371" spans="4:7" x14ac:dyDescent="0.25">
      <c r="D371" s="93"/>
      <c r="E371" s="93"/>
      <c r="F371" s="93"/>
      <c r="G371" s="93"/>
    </row>
    <row r="372" spans="4:7" x14ac:dyDescent="0.25">
      <c r="D372" s="93"/>
      <c r="E372" s="93"/>
      <c r="F372" s="93"/>
      <c r="G372" s="93"/>
    </row>
    <row r="373" spans="4:7" x14ac:dyDescent="0.25">
      <c r="D373" s="93"/>
      <c r="E373" s="93"/>
      <c r="F373" s="93"/>
      <c r="G373" s="93"/>
    </row>
    <row r="374" spans="4:7" x14ac:dyDescent="0.25">
      <c r="D374" s="93"/>
      <c r="E374" s="93"/>
      <c r="F374" s="93"/>
      <c r="G374" s="93"/>
    </row>
    <row r="375" spans="4:7" x14ac:dyDescent="0.25">
      <c r="D375" s="93"/>
      <c r="E375" s="93"/>
      <c r="F375" s="93"/>
      <c r="G375" s="93"/>
    </row>
    <row r="376" spans="4:7" x14ac:dyDescent="0.25">
      <c r="D376" s="93"/>
      <c r="E376" s="93"/>
      <c r="F376" s="93"/>
      <c r="G376" s="93"/>
    </row>
    <row r="377" spans="4:7" x14ac:dyDescent="0.25">
      <c r="D377" s="93"/>
      <c r="E377" s="93"/>
      <c r="F377" s="93"/>
      <c r="G377" s="93"/>
    </row>
    <row r="378" spans="4:7" x14ac:dyDescent="0.25">
      <c r="D378" s="93"/>
      <c r="E378" s="93"/>
      <c r="F378" s="93"/>
      <c r="G378" s="93"/>
    </row>
    <row r="379" spans="4:7" x14ac:dyDescent="0.25">
      <c r="D379" s="93"/>
      <c r="E379" s="93"/>
      <c r="F379" s="93"/>
      <c r="G379" s="93"/>
    </row>
    <row r="380" spans="4:7" x14ac:dyDescent="0.25">
      <c r="D380" s="93"/>
      <c r="E380" s="93"/>
      <c r="F380" s="93"/>
      <c r="G380" s="93"/>
    </row>
    <row r="381" spans="4:7" x14ac:dyDescent="0.25">
      <c r="D381" s="93"/>
      <c r="E381" s="93"/>
      <c r="F381" s="93"/>
      <c r="G381" s="93"/>
    </row>
    <row r="382" spans="4:7" x14ac:dyDescent="0.25">
      <c r="D382" s="93"/>
      <c r="E382" s="93"/>
      <c r="F382" s="93"/>
      <c r="G382" s="93"/>
    </row>
    <row r="383" spans="4:7" x14ac:dyDescent="0.25">
      <c r="D383" s="93"/>
      <c r="E383" s="93"/>
      <c r="F383" s="93"/>
      <c r="G383" s="93"/>
    </row>
    <row r="384" spans="4:7" x14ac:dyDescent="0.25">
      <c r="D384" s="93"/>
      <c r="E384" s="93"/>
      <c r="F384" s="93"/>
      <c r="G384" s="93"/>
    </row>
    <row r="385" spans="4:7" x14ac:dyDescent="0.25">
      <c r="D385" s="93"/>
      <c r="E385" s="93"/>
      <c r="F385" s="93"/>
      <c r="G385" s="93"/>
    </row>
    <row r="386" spans="4:7" x14ac:dyDescent="0.25">
      <c r="D386" s="93"/>
      <c r="E386" s="93"/>
      <c r="F386" s="93"/>
      <c r="G386" s="93"/>
    </row>
    <row r="387" spans="4:7" x14ac:dyDescent="0.25">
      <c r="D387" s="93"/>
      <c r="E387" s="93"/>
      <c r="F387" s="93"/>
      <c r="G387" s="93"/>
    </row>
    <row r="388" spans="4:7" x14ac:dyDescent="0.25">
      <c r="D388" s="93"/>
      <c r="E388" s="93"/>
      <c r="F388" s="93"/>
      <c r="G388" s="93"/>
    </row>
    <row r="389" spans="4:7" x14ac:dyDescent="0.25">
      <c r="D389" s="93"/>
      <c r="E389" s="93"/>
      <c r="F389" s="93"/>
      <c r="G389" s="93"/>
    </row>
    <row r="390" spans="4:7" x14ac:dyDescent="0.25">
      <c r="D390" s="93"/>
      <c r="E390" s="93"/>
      <c r="F390" s="93"/>
      <c r="G390" s="93"/>
    </row>
    <row r="391" spans="4:7" x14ac:dyDescent="0.25">
      <c r="D391" s="93"/>
      <c r="E391" s="93"/>
      <c r="F391" s="93"/>
      <c r="G391" s="93"/>
    </row>
    <row r="392" spans="4:7" x14ac:dyDescent="0.25">
      <c r="D392" s="93"/>
      <c r="E392" s="93"/>
      <c r="F392" s="93"/>
      <c r="G392" s="93"/>
    </row>
    <row r="393" spans="4:7" x14ac:dyDescent="0.25">
      <c r="D393" s="93"/>
      <c r="E393" s="93"/>
      <c r="F393" s="93"/>
      <c r="G393" s="93"/>
    </row>
    <row r="394" spans="4:7" x14ac:dyDescent="0.25">
      <c r="D394" s="93"/>
      <c r="E394" s="93"/>
      <c r="F394" s="93"/>
      <c r="G394" s="93"/>
    </row>
    <row r="395" spans="4:7" x14ac:dyDescent="0.25">
      <c r="D395" s="93"/>
      <c r="E395" s="93"/>
      <c r="F395" s="93"/>
      <c r="G395" s="93"/>
    </row>
    <row r="396" spans="4:7" x14ac:dyDescent="0.25">
      <c r="D396" s="93"/>
      <c r="E396" s="93"/>
      <c r="F396" s="93"/>
      <c r="G396" s="93"/>
    </row>
    <row r="397" spans="4:7" x14ac:dyDescent="0.25">
      <c r="D397" s="93"/>
      <c r="E397" s="93"/>
      <c r="F397" s="93"/>
      <c r="G397" s="93"/>
    </row>
    <row r="398" spans="4:7" x14ac:dyDescent="0.25">
      <c r="D398" s="93"/>
      <c r="E398" s="93"/>
      <c r="F398" s="93"/>
      <c r="G398" s="93"/>
    </row>
    <row r="399" spans="4:7" x14ac:dyDescent="0.25">
      <c r="D399" s="93"/>
      <c r="E399" s="93"/>
      <c r="F399" s="93"/>
      <c r="G399" s="93"/>
    </row>
    <row r="400" spans="4:7" x14ac:dyDescent="0.25">
      <c r="D400" s="93"/>
      <c r="E400" s="93"/>
      <c r="F400" s="93"/>
      <c r="G400" s="93"/>
    </row>
  </sheetData>
  <mergeCells count="2">
    <mergeCell ref="D2:G2"/>
    <mergeCell ref="D3:G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AL138"/>
  <sheetViews>
    <sheetView showGridLines="0" topLeftCell="A2" zoomScale="92" zoomScaleNormal="92" workbookViewId="0">
      <selection activeCell="G28" sqref="G28"/>
    </sheetView>
  </sheetViews>
  <sheetFormatPr baseColWidth="10" defaultColWidth="8.7109375" defaultRowHeight="15" x14ac:dyDescent="0.25"/>
  <cols>
    <col min="1" max="1" width="2.28515625" style="93" customWidth="1"/>
    <col min="2" max="2" width="5.42578125" style="93" customWidth="1"/>
    <col min="3" max="3" width="6.42578125" style="93" customWidth="1"/>
    <col min="4" max="4" width="4.140625" style="93" customWidth="1"/>
    <col min="5" max="5" width="33" bestFit="1" customWidth="1"/>
    <col min="6" max="6" width="13.42578125" bestFit="1" customWidth="1"/>
    <col min="7" max="7" width="54.85546875" bestFit="1" customWidth="1"/>
    <col min="8" max="8" width="4.140625" style="93" customWidth="1"/>
    <col min="9" max="9" width="8.7109375" style="93"/>
    <col min="10" max="10" width="12.42578125" style="93" bestFit="1" customWidth="1"/>
    <col min="11" max="38" width="8.7109375" style="93"/>
  </cols>
  <sheetData>
    <row r="1" spans="5:10" s="93" customFormat="1" x14ac:dyDescent="0.25"/>
    <row r="2" spans="5:10" ht="39.75" customHeight="1" x14ac:dyDescent="0.25">
      <c r="E2" s="460" t="s">
        <v>202</v>
      </c>
      <c r="F2" s="460"/>
      <c r="G2" s="460"/>
    </row>
    <row r="3" spans="5:10" ht="15.75" customHeight="1" x14ac:dyDescent="0.25">
      <c r="E3" s="461" t="s">
        <v>203</v>
      </c>
      <c r="F3" s="461"/>
      <c r="G3" s="461"/>
    </row>
    <row r="4" spans="5:10" s="93" customFormat="1" x14ac:dyDescent="0.25"/>
    <row r="5" spans="5:10" ht="19.5" customHeight="1" x14ac:dyDescent="0.25">
      <c r="E5" s="462" t="s">
        <v>204</v>
      </c>
      <c r="F5" s="462"/>
      <c r="G5" s="462"/>
    </row>
    <row r="6" spans="5:10" ht="19.5" customHeight="1" x14ac:dyDescent="0.25">
      <c r="E6" s="256" t="s">
        <v>205</v>
      </c>
      <c r="F6" s="26">
        <f>'🧾 Factura Comercial'!I35</f>
        <v>14213.76</v>
      </c>
      <c r="G6" s="253" t="s">
        <v>206</v>
      </c>
    </row>
    <row r="7" spans="5:10" ht="19.5" customHeight="1" x14ac:dyDescent="0.25">
      <c r="E7" s="257" t="s">
        <v>209</v>
      </c>
      <c r="F7" s="353">
        <v>2090</v>
      </c>
      <c r="G7" s="254" t="s">
        <v>210</v>
      </c>
      <c r="J7" s="102"/>
    </row>
    <row r="8" spans="5:10" ht="19.5" customHeight="1" x14ac:dyDescent="0.25">
      <c r="E8" s="256" t="s">
        <v>212</v>
      </c>
      <c r="F8" s="26">
        <f>F6+F7</f>
        <v>16303.76</v>
      </c>
      <c r="G8" s="253" t="s">
        <v>213</v>
      </c>
      <c r="J8" s="102"/>
    </row>
    <row r="9" spans="5:10" ht="19.5" customHeight="1" x14ac:dyDescent="0.25">
      <c r="E9" s="257" t="s">
        <v>215</v>
      </c>
      <c r="F9" s="26" t="s">
        <v>455</v>
      </c>
      <c r="G9" s="254" t="s">
        <v>216</v>
      </c>
      <c r="J9" s="102"/>
    </row>
    <row r="10" spans="5:10" ht="19.5" customHeight="1" x14ac:dyDescent="0.25">
      <c r="E10" s="256" t="s">
        <v>218</v>
      </c>
      <c r="F10" s="352">
        <v>134.27000000000001</v>
      </c>
      <c r="G10" s="253" t="s">
        <v>219</v>
      </c>
      <c r="J10" s="102"/>
    </row>
    <row r="11" spans="5:10" ht="19.5" customHeight="1" x14ac:dyDescent="0.25">
      <c r="E11" s="257" t="s">
        <v>221</v>
      </c>
      <c r="F11" s="26">
        <f>F10*'📋 Datos Generales'!E25</f>
        <v>0</v>
      </c>
      <c r="G11" s="254" t="s">
        <v>222</v>
      </c>
    </row>
    <row r="12" spans="5:10" ht="19.5" customHeight="1" x14ac:dyDescent="0.25">
      <c r="E12" s="256" t="s">
        <v>223</v>
      </c>
      <c r="F12" s="26">
        <f>SUM(F10:F11)*'📋 Datos Generales'!E28</f>
        <v>24.168600000000001</v>
      </c>
      <c r="G12" s="253" t="s">
        <v>224</v>
      </c>
    </row>
    <row r="13" spans="5:10" ht="19.5" customHeight="1" x14ac:dyDescent="0.25">
      <c r="E13" s="257" t="s">
        <v>225</v>
      </c>
      <c r="F13" s="26">
        <f>F10</f>
        <v>134.27000000000001</v>
      </c>
      <c r="G13" s="254" t="s">
        <v>226</v>
      </c>
    </row>
    <row r="14" spans="5:10" ht="19.5" customHeight="1" x14ac:dyDescent="0.25">
      <c r="E14" s="256" t="s">
        <v>227</v>
      </c>
      <c r="F14" s="26">
        <f>F8+F10</f>
        <v>16438.03</v>
      </c>
      <c r="G14" s="253" t="s">
        <v>228</v>
      </c>
    </row>
    <row r="15" spans="5:10" s="93" customFormat="1" x14ac:dyDescent="0.25"/>
    <row r="16" spans="5:10" ht="19.5" customHeight="1" x14ac:dyDescent="0.25">
      <c r="E16" s="462" t="s">
        <v>229</v>
      </c>
      <c r="F16" s="462"/>
      <c r="G16" s="462"/>
    </row>
    <row r="17" spans="5:10" ht="19.5" customHeight="1" x14ac:dyDescent="0.25">
      <c r="E17" s="256" t="s">
        <v>230</v>
      </c>
      <c r="F17" s="26">
        <f>ROUND(F14*'📋 Datos Generales'!E20,0)</f>
        <v>986</v>
      </c>
      <c r="G17" s="253" t="s">
        <v>231</v>
      </c>
    </row>
    <row r="18" spans="5:10" ht="19.5" customHeight="1" x14ac:dyDescent="0.25">
      <c r="E18" s="257" t="s">
        <v>232</v>
      </c>
      <c r="F18" s="26">
        <f>ROUND((F14+F17)*'📋 Datos Generales'!E22,0)</f>
        <v>348</v>
      </c>
      <c r="G18" s="254" t="s">
        <v>233</v>
      </c>
      <c r="J18" s="102"/>
    </row>
    <row r="19" spans="5:10" ht="19.5" customHeight="1" x14ac:dyDescent="0.25">
      <c r="E19" s="256" t="s">
        <v>234</v>
      </c>
      <c r="F19" s="26">
        <f>ROUND((F14+F17)*'📋 Datos Generales'!E21,0)</f>
        <v>2788</v>
      </c>
      <c r="G19" s="253" t="s">
        <v>235</v>
      </c>
      <c r="J19" s="102"/>
    </row>
    <row r="20" spans="5:10" ht="19.5" customHeight="1" x14ac:dyDescent="0.25">
      <c r="E20" s="258" t="s">
        <v>237</v>
      </c>
      <c r="F20" s="27">
        <f>F17+F18+F19</f>
        <v>4122</v>
      </c>
      <c r="G20" s="255" t="s">
        <v>238</v>
      </c>
      <c r="J20" s="102"/>
    </row>
    <row r="21" spans="5:10" s="93" customFormat="1" x14ac:dyDescent="0.25"/>
    <row r="22" spans="5:10" ht="19.5" customHeight="1" x14ac:dyDescent="0.25">
      <c r="E22" s="462" t="s">
        <v>240</v>
      </c>
      <c r="F22" s="462"/>
      <c r="G22" s="462"/>
    </row>
    <row r="23" spans="5:10" ht="19.5" customHeight="1" x14ac:dyDescent="0.25">
      <c r="E23" s="256" t="s">
        <v>241</v>
      </c>
      <c r="F23" s="26">
        <f>ROUND((F14+F20)*'📋 Datos Generales'!E23,2)</f>
        <v>719.6</v>
      </c>
      <c r="G23" s="253" t="s">
        <v>242</v>
      </c>
    </row>
    <row r="24" spans="5:10" ht="19.5" customHeight="1" x14ac:dyDescent="0.25">
      <c r="E24" s="257" t="s">
        <v>243</v>
      </c>
      <c r="F24" s="26">
        <f>F17</f>
        <v>986</v>
      </c>
      <c r="G24" s="254" t="s">
        <v>244</v>
      </c>
    </row>
    <row r="25" spans="5:10" ht="19.5" customHeight="1" x14ac:dyDescent="0.25">
      <c r="E25" s="256" t="s">
        <v>245</v>
      </c>
      <c r="F25" s="26">
        <f>MAX(F14*'📋 Datos Generales'!E27,100/'📋 Datos Generales'!E19)</f>
        <v>164.38030000000001</v>
      </c>
      <c r="G25" s="253" t="s">
        <v>246</v>
      </c>
    </row>
    <row r="26" spans="5:10" s="93" customFormat="1" x14ac:dyDescent="0.25"/>
    <row r="27" spans="5:10" s="93" customFormat="1" x14ac:dyDescent="0.25"/>
    <row r="28" spans="5:10" s="93" customFormat="1" x14ac:dyDescent="0.25"/>
    <row r="29" spans="5:10" s="93" customFormat="1" x14ac:dyDescent="0.25"/>
    <row r="30" spans="5:10" s="93" customFormat="1" x14ac:dyDescent="0.25"/>
    <row r="31" spans="5:10" s="93" customFormat="1" x14ac:dyDescent="0.25"/>
    <row r="32" spans="5:10" s="93" customFormat="1" x14ac:dyDescent="0.25"/>
    <row r="33" spans="6:7" s="93" customFormat="1" x14ac:dyDescent="0.25"/>
    <row r="34" spans="6:7" s="93" customFormat="1" x14ac:dyDescent="0.25"/>
    <row r="35" spans="6:7" s="93" customFormat="1" x14ac:dyDescent="0.25">
      <c r="F35" s="93" t="s">
        <v>207</v>
      </c>
      <c r="G35" s="93" t="s">
        <v>208</v>
      </c>
    </row>
    <row r="36" spans="6:7" s="93" customFormat="1" x14ac:dyDescent="0.25">
      <c r="F36" s="93" t="s">
        <v>211</v>
      </c>
      <c r="G36" s="102">
        <f>F17</f>
        <v>986</v>
      </c>
    </row>
    <row r="37" spans="6:7" s="93" customFormat="1" x14ac:dyDescent="0.25">
      <c r="F37" s="93" t="s">
        <v>214</v>
      </c>
      <c r="G37" s="102">
        <f>F18</f>
        <v>348</v>
      </c>
    </row>
    <row r="38" spans="6:7" s="93" customFormat="1" x14ac:dyDescent="0.25">
      <c r="F38" s="93" t="s">
        <v>217</v>
      </c>
      <c r="G38" s="102">
        <f>F19</f>
        <v>2788</v>
      </c>
    </row>
    <row r="39" spans="6:7" s="93" customFormat="1" x14ac:dyDescent="0.25">
      <c r="F39" s="93" t="s">
        <v>220</v>
      </c>
      <c r="G39" s="102">
        <f>F23</f>
        <v>719.6</v>
      </c>
    </row>
    <row r="40" spans="6:7" s="93" customFormat="1" x14ac:dyDescent="0.25"/>
    <row r="41" spans="6:7" s="93" customFormat="1" x14ac:dyDescent="0.25"/>
    <row r="42" spans="6:7" s="93" customFormat="1" x14ac:dyDescent="0.25">
      <c r="F42" s="93" t="s">
        <v>207</v>
      </c>
      <c r="G42" s="93" t="s">
        <v>208</v>
      </c>
    </row>
    <row r="43" spans="6:7" s="93" customFormat="1" x14ac:dyDescent="0.25">
      <c r="F43" s="93" t="s">
        <v>98</v>
      </c>
      <c r="G43" s="102">
        <f>F6</f>
        <v>14213.76</v>
      </c>
    </row>
    <row r="44" spans="6:7" s="93" customFormat="1" x14ac:dyDescent="0.25">
      <c r="F44" s="93" t="s">
        <v>236</v>
      </c>
      <c r="G44" s="102">
        <f>F7</f>
        <v>2090</v>
      </c>
    </row>
    <row r="45" spans="6:7" s="93" customFormat="1" x14ac:dyDescent="0.25">
      <c r="F45" s="93" t="s">
        <v>239</v>
      </c>
      <c r="G45" s="102">
        <f>F10</f>
        <v>134.27000000000001</v>
      </c>
    </row>
    <row r="46" spans="6:7" s="93" customFormat="1" x14ac:dyDescent="0.25"/>
    <row r="47" spans="6:7" s="93" customFormat="1" x14ac:dyDescent="0.25"/>
    <row r="48" spans="6:7" s="93" customFormat="1" x14ac:dyDescent="0.25"/>
    <row r="49" s="93" customFormat="1" x14ac:dyDescent="0.25"/>
    <row r="50" s="93" customFormat="1" x14ac:dyDescent="0.25"/>
    <row r="51" s="93" customFormat="1" x14ac:dyDescent="0.25"/>
    <row r="52" s="93" customFormat="1" x14ac:dyDescent="0.25"/>
    <row r="53" s="93" customFormat="1" x14ac:dyDescent="0.25"/>
    <row r="54" s="93" customFormat="1" x14ac:dyDescent="0.25"/>
    <row r="55" s="93" customFormat="1" x14ac:dyDescent="0.25"/>
    <row r="56" s="93" customFormat="1" x14ac:dyDescent="0.25"/>
    <row r="57" s="93" customFormat="1" x14ac:dyDescent="0.25"/>
    <row r="58" s="93" customFormat="1" x14ac:dyDescent="0.25"/>
    <row r="59" s="93" customFormat="1" x14ac:dyDescent="0.25"/>
    <row r="60" s="93" customFormat="1" x14ac:dyDescent="0.25"/>
    <row r="61" s="93" customFormat="1" x14ac:dyDescent="0.25"/>
    <row r="62" s="93" customFormat="1" x14ac:dyDescent="0.25"/>
    <row r="63" s="93" customFormat="1" x14ac:dyDescent="0.25"/>
    <row r="64" s="93" customFormat="1" x14ac:dyDescent="0.25"/>
    <row r="65" s="93" customFormat="1" x14ac:dyDescent="0.25"/>
    <row r="66" s="93" customFormat="1" x14ac:dyDescent="0.25"/>
    <row r="67" s="93" customFormat="1" x14ac:dyDescent="0.25"/>
    <row r="68" s="93" customFormat="1" x14ac:dyDescent="0.25"/>
    <row r="69" s="93" customFormat="1" x14ac:dyDescent="0.25"/>
    <row r="70" s="93" customFormat="1" x14ac:dyDescent="0.25"/>
    <row r="71" s="93" customFormat="1" x14ac:dyDescent="0.25"/>
    <row r="72" s="93" customFormat="1" x14ac:dyDescent="0.25"/>
    <row r="73" s="93" customFormat="1" x14ac:dyDescent="0.25"/>
    <row r="74" s="93" customFormat="1" x14ac:dyDescent="0.25"/>
    <row r="75" s="93" customFormat="1" x14ac:dyDescent="0.25"/>
    <row r="76" s="93" customFormat="1" x14ac:dyDescent="0.25"/>
    <row r="77" s="93" customFormat="1" x14ac:dyDescent="0.25"/>
    <row r="78" s="93" customFormat="1" x14ac:dyDescent="0.25"/>
    <row r="79" s="93" customFormat="1" x14ac:dyDescent="0.25"/>
    <row r="80" s="93" customFormat="1" x14ac:dyDescent="0.25"/>
    <row r="81" s="93" customFormat="1" x14ac:dyDescent="0.25"/>
    <row r="82" s="93" customFormat="1" x14ac:dyDescent="0.25"/>
    <row r="83" s="93" customFormat="1" x14ac:dyDescent="0.25"/>
    <row r="84" s="93" customFormat="1" x14ac:dyDescent="0.25"/>
    <row r="85" s="93" customFormat="1" x14ac:dyDescent="0.25"/>
    <row r="86" s="93" customFormat="1" x14ac:dyDescent="0.25"/>
    <row r="87" s="93" customFormat="1" x14ac:dyDescent="0.25"/>
    <row r="88" s="93" customFormat="1" x14ac:dyDescent="0.25"/>
    <row r="89" s="93" customFormat="1" x14ac:dyDescent="0.25"/>
    <row r="90" s="93" customFormat="1" x14ac:dyDescent="0.25"/>
    <row r="91" s="93" customFormat="1" x14ac:dyDescent="0.25"/>
    <row r="92" s="93" customFormat="1" x14ac:dyDescent="0.25"/>
    <row r="93" s="93" customFormat="1" x14ac:dyDescent="0.25"/>
    <row r="94" s="93" customFormat="1" x14ac:dyDescent="0.25"/>
    <row r="95" s="93" customFormat="1" x14ac:dyDescent="0.25"/>
    <row r="96" s="93" customFormat="1" x14ac:dyDescent="0.25"/>
    <row r="97" s="93" customFormat="1" x14ac:dyDescent="0.25"/>
    <row r="98" s="93" customFormat="1" x14ac:dyDescent="0.25"/>
    <row r="99" s="93" customFormat="1" x14ac:dyDescent="0.25"/>
    <row r="100" s="93" customFormat="1" x14ac:dyDescent="0.25"/>
    <row r="101" s="93" customFormat="1" x14ac:dyDescent="0.25"/>
    <row r="102" s="93" customFormat="1" x14ac:dyDescent="0.25"/>
    <row r="103" s="93" customFormat="1" x14ac:dyDescent="0.25"/>
    <row r="104" s="93" customFormat="1" x14ac:dyDescent="0.25"/>
    <row r="105" s="93" customFormat="1" x14ac:dyDescent="0.25"/>
    <row r="106" s="93" customFormat="1" x14ac:dyDescent="0.25"/>
    <row r="107" s="93" customFormat="1" x14ac:dyDescent="0.25"/>
    <row r="108" s="93" customFormat="1" x14ac:dyDescent="0.25"/>
    <row r="109" s="93" customFormat="1" x14ac:dyDescent="0.25"/>
    <row r="110" s="93" customFormat="1" x14ac:dyDescent="0.25"/>
    <row r="111" s="93" customFormat="1" x14ac:dyDescent="0.25"/>
    <row r="112" s="93" customFormat="1" x14ac:dyDescent="0.25"/>
    <row r="113" s="93" customFormat="1" x14ac:dyDescent="0.25"/>
    <row r="114" s="93" customFormat="1" x14ac:dyDescent="0.25"/>
    <row r="115" s="93" customFormat="1" x14ac:dyDescent="0.25"/>
    <row r="116" s="93" customFormat="1" x14ac:dyDescent="0.25"/>
    <row r="117" s="93" customFormat="1" x14ac:dyDescent="0.25"/>
    <row r="118" s="93" customFormat="1" x14ac:dyDescent="0.25"/>
    <row r="119" s="93" customFormat="1" x14ac:dyDescent="0.25"/>
    <row r="120" s="93" customFormat="1" x14ac:dyDescent="0.25"/>
    <row r="121" s="93" customFormat="1" x14ac:dyDescent="0.25"/>
    <row r="122" s="93" customFormat="1" x14ac:dyDescent="0.25"/>
    <row r="123" s="93" customFormat="1" x14ac:dyDescent="0.25"/>
    <row r="124" s="93" customFormat="1" x14ac:dyDescent="0.25"/>
    <row r="125" s="93" customFormat="1" x14ac:dyDescent="0.25"/>
    <row r="126" s="93" customFormat="1" x14ac:dyDescent="0.25"/>
    <row r="127" s="93" customFormat="1" x14ac:dyDescent="0.25"/>
    <row r="128" s="93" customFormat="1" x14ac:dyDescent="0.25"/>
    <row r="129" s="93" customFormat="1" x14ac:dyDescent="0.25"/>
    <row r="130" s="93" customFormat="1" x14ac:dyDescent="0.25"/>
    <row r="131" s="93" customFormat="1" x14ac:dyDescent="0.25"/>
    <row r="132" s="93" customFormat="1" x14ac:dyDescent="0.25"/>
    <row r="133" s="93" customFormat="1" x14ac:dyDescent="0.25"/>
    <row r="134" s="93" customFormat="1" x14ac:dyDescent="0.25"/>
    <row r="135" s="93" customFormat="1" x14ac:dyDescent="0.25"/>
    <row r="136" s="93" customFormat="1" x14ac:dyDescent="0.25"/>
    <row r="137" s="93" customFormat="1" x14ac:dyDescent="0.25"/>
    <row r="138" s="93" customFormat="1" x14ac:dyDescent="0.25"/>
  </sheetData>
  <mergeCells count="5">
    <mergeCell ref="E2:G2"/>
    <mergeCell ref="E3:G3"/>
    <mergeCell ref="E5:G5"/>
    <mergeCell ref="E16:G16"/>
    <mergeCell ref="E22:G22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99CC"/>
  </sheetPr>
  <dimension ref="A1:AR349"/>
  <sheetViews>
    <sheetView showGridLines="0" zoomScale="85" zoomScaleNormal="85" workbookViewId="0">
      <selection activeCell="G21" sqref="G2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2" width="6.5703125" style="93" customWidth="1"/>
    <col min="3" max="3" width="4" style="93" customWidth="1"/>
    <col min="4" max="4" width="6" customWidth="1"/>
    <col min="5" max="5" width="44" customWidth="1"/>
    <col min="6" max="6" width="12.7109375" customWidth="1"/>
    <col min="7" max="8" width="16" customWidth="1"/>
    <col min="9" max="9" width="14.42578125" bestFit="1" customWidth="1"/>
    <col min="10" max="10" width="18" customWidth="1"/>
    <col min="11" max="11" width="12.42578125" bestFit="1" customWidth="1"/>
    <col min="12" max="44" width="8.7109375" style="93"/>
  </cols>
  <sheetData>
    <row r="1" spans="4:11" s="93" customFormat="1" x14ac:dyDescent="0.25"/>
    <row r="2" spans="4:11" ht="39.75" customHeight="1" x14ac:dyDescent="0.25">
      <c r="D2" s="460" t="s">
        <v>247</v>
      </c>
      <c r="E2" s="460"/>
      <c r="F2" s="460"/>
      <c r="G2" s="460"/>
      <c r="H2" s="460"/>
      <c r="I2" s="460"/>
      <c r="J2" s="460"/>
      <c r="K2" s="460"/>
    </row>
    <row r="3" spans="4:11" ht="15.75" customHeight="1" x14ac:dyDescent="0.25">
      <c r="D3" s="465" t="s">
        <v>248</v>
      </c>
      <c r="E3" s="465"/>
      <c r="F3" s="465"/>
      <c r="G3" s="465"/>
      <c r="H3" s="465"/>
      <c r="I3" s="465"/>
      <c r="J3" s="465"/>
      <c r="K3" s="465"/>
    </row>
    <row r="4" spans="4:11" ht="19.5" customHeight="1" x14ac:dyDescent="0.25">
      <c r="D4" s="468" t="s">
        <v>249</v>
      </c>
      <c r="E4" s="468"/>
      <c r="F4" s="469"/>
      <c r="G4" s="470">
        <f>'📦 Gastos Importación'!E28</f>
        <v>18588.77</v>
      </c>
      <c r="H4" s="470"/>
      <c r="I4" s="466">
        <f>G4*'📋 Datos Generales'!E19</f>
        <v>69150.224400000006</v>
      </c>
      <c r="J4" s="466"/>
      <c r="K4" s="466"/>
    </row>
    <row r="5" spans="4:11" ht="27.75" customHeight="1" x14ac:dyDescent="0.25">
      <c r="D5" s="463" t="s">
        <v>250</v>
      </c>
      <c r="E5" s="463"/>
      <c r="F5" s="464"/>
      <c r="G5" s="467">
        <f>IF('🧾 Factura Comercial'!I35=0,0,G4/'🧾 Factura Comercial'!I35)</f>
        <v>1.3078010322391824</v>
      </c>
      <c r="H5" s="467"/>
      <c r="I5" s="467"/>
      <c r="J5" s="467"/>
      <c r="K5" s="467"/>
    </row>
    <row r="6" spans="4:11" ht="34.5" customHeight="1" x14ac:dyDescent="0.25">
      <c r="D6" s="107" t="s">
        <v>133</v>
      </c>
      <c r="E6" s="107" t="s">
        <v>251</v>
      </c>
      <c r="F6" s="107" t="s">
        <v>252</v>
      </c>
      <c r="G6" s="107" t="s">
        <v>137</v>
      </c>
      <c r="H6" s="107" t="s">
        <v>138</v>
      </c>
      <c r="I6" s="107" t="s">
        <v>446</v>
      </c>
      <c r="J6" s="107" t="s">
        <v>253</v>
      </c>
      <c r="K6" s="107" t="s">
        <v>254</v>
      </c>
    </row>
    <row r="7" spans="4:11" ht="19.5" customHeight="1" x14ac:dyDescent="0.25">
      <c r="D7" s="88">
        <v>1</v>
      </c>
      <c r="E7" s="259" t="str">
        <f>'🧾 Factura Comercial'!E5</f>
        <v>Case Transparente TPU iPhone 15</v>
      </c>
      <c r="F7" s="260">
        <f>'🧾 Factura Comercial'!G5</f>
        <v>480</v>
      </c>
      <c r="G7" s="261">
        <f>'🧾 Factura Comercial'!H5</f>
        <v>1.21</v>
      </c>
      <c r="H7" s="262">
        <f>'🧾 Factura Comercial'!I5</f>
        <v>580.79999999999995</v>
      </c>
      <c r="I7" s="311">
        <f>'🧾 Factura Comercial'!J5</f>
        <v>4.0861812778603263E-2</v>
      </c>
      <c r="J7" s="263">
        <f>IF(G5=0,0,G5*G7)</f>
        <v>1.5824392490094108</v>
      </c>
      <c r="K7" s="264">
        <f>J7*'📋 Datos Generales'!E19</f>
        <v>5.8866740063150083</v>
      </c>
    </row>
    <row r="8" spans="4:11" ht="19.5" customHeight="1" x14ac:dyDescent="0.25">
      <c r="D8" s="13">
        <v>2</v>
      </c>
      <c r="E8" s="265" t="str">
        <f>'🧾 Factura Comercial'!E6</f>
        <v>Cable USB-C Trenzado 1m</v>
      </c>
      <c r="F8" s="266">
        <f>'🧾 Factura Comercial'!G6</f>
        <v>2880</v>
      </c>
      <c r="G8" s="267">
        <f>'🧾 Factura Comercial'!H6</f>
        <v>0.68</v>
      </c>
      <c r="H8" s="268">
        <f>'🧾 Factura Comercial'!I6</f>
        <v>1958.4</v>
      </c>
      <c r="I8" s="311">
        <f>'🧾 Factura Comercial'!J6</f>
        <v>0.13778198027826558</v>
      </c>
      <c r="J8" s="263">
        <f>IF(G5=0,0,G5*G8)</f>
        <v>0.8893047019226441</v>
      </c>
      <c r="K8" s="264">
        <f>J8*'📋 Datos Generales'!E19</f>
        <v>3.3082134911522361</v>
      </c>
    </row>
    <row r="9" spans="4:11" ht="19.5" customHeight="1" x14ac:dyDescent="0.25">
      <c r="D9" s="13">
        <v>3</v>
      </c>
      <c r="E9" s="265" t="str">
        <f>'🧾 Factura Comercial'!E7</f>
        <v>Protector Pantalla Vidrio Templado</v>
      </c>
      <c r="F9" s="266">
        <f>'🧾 Factura Comercial'!G7</f>
        <v>2880</v>
      </c>
      <c r="G9" s="267">
        <f>'🧾 Factura Comercial'!H7</f>
        <v>0.4</v>
      </c>
      <c r="H9" s="268">
        <f>'🧾 Factura Comercial'!I7</f>
        <v>1152</v>
      </c>
      <c r="I9" s="311">
        <f>'🧾 Factura Comercial'!J7</f>
        <v>8.1048223693097388E-2</v>
      </c>
      <c r="J9" s="263">
        <f>IF(G5=0,0,G5*G9)</f>
        <v>0.52312041289567301</v>
      </c>
      <c r="K9" s="264">
        <f>J9*'📋 Datos Generales'!E19</f>
        <v>1.9460079359719038</v>
      </c>
    </row>
    <row r="10" spans="4:11" ht="19.5" customHeight="1" x14ac:dyDescent="0.25">
      <c r="D10" s="13">
        <v>4</v>
      </c>
      <c r="E10" s="265" t="str">
        <f>'🧾 Factura Comercial'!E8</f>
        <v>Audífonos In-Ear con Micrófono</v>
      </c>
      <c r="F10" s="266">
        <f>'🧾 Factura Comercial'!G8</f>
        <v>10224</v>
      </c>
      <c r="G10" s="267">
        <f>'🧾 Factura Comercial'!H8</f>
        <v>0.34</v>
      </c>
      <c r="H10" s="268">
        <f>'🧾 Factura Comercial'!I8</f>
        <v>3476.1600000000003</v>
      </c>
      <c r="I10" s="311">
        <f>'🧾 Factura Comercial'!J8</f>
        <v>0.24456301499392141</v>
      </c>
      <c r="J10" s="263">
        <f>IF(G5=0,0,G5*G10)</f>
        <v>0.44465235096132205</v>
      </c>
      <c r="K10" s="264">
        <f>J10*'📋 Datos Generales'!E19</f>
        <v>1.654106745576118</v>
      </c>
    </row>
    <row r="11" spans="4:11" ht="19.5" customHeight="1" x14ac:dyDescent="0.25">
      <c r="D11" s="13">
        <v>5</v>
      </c>
      <c r="E11" s="265" t="str">
        <f>'🧾 Factura Comercial'!E9</f>
        <v>Cable Micro USB 2m Nylon</v>
      </c>
      <c r="F11" s="266">
        <f>'🧾 Factura Comercial'!G9</f>
        <v>8640</v>
      </c>
      <c r="G11" s="267">
        <f>'🧾 Factura Comercial'!H9</f>
        <v>0.26</v>
      </c>
      <c r="H11" s="268">
        <f>'🧾 Factura Comercial'!I9</f>
        <v>2246.4</v>
      </c>
      <c r="I11" s="311">
        <f>'🧾 Factura Comercial'!J9</f>
        <v>0.15804403620153992</v>
      </c>
      <c r="J11" s="263">
        <f>IF(G5=0,0,G5*G11)</f>
        <v>0.34002826838218742</v>
      </c>
      <c r="K11" s="264">
        <f>J11*'📋 Datos Generales'!E19</f>
        <v>1.2649051583817372</v>
      </c>
    </row>
    <row r="12" spans="4:11" ht="19.5" customHeight="1" x14ac:dyDescent="0.25">
      <c r="D12" s="13">
        <v>6</v>
      </c>
      <c r="E12" s="265" t="str">
        <f>'🧾 Factura Comercial'!E10</f>
        <v>Soporte Anillo Pop Socket Metálico</v>
      </c>
      <c r="F12" s="266">
        <f>'🧾 Factura Comercial'!G10</f>
        <v>2160</v>
      </c>
      <c r="G12" s="267">
        <f>'🧾 Factura Comercial'!H10</f>
        <v>0.28999999999999998</v>
      </c>
      <c r="H12" s="268">
        <f>'🧾 Factura Comercial'!I10</f>
        <v>626.4</v>
      </c>
      <c r="I12" s="311">
        <f>'🧾 Factura Comercial'!J10</f>
        <v>4.4069971633121707E-2</v>
      </c>
      <c r="J12" s="263">
        <f>IF(G5=0,0,G5*G12)</f>
        <v>0.3792622993493629</v>
      </c>
      <c r="K12" s="264">
        <f>J12*'📋 Datos Generales'!E19</f>
        <v>1.41085575357963</v>
      </c>
    </row>
    <row r="13" spans="4:11" ht="19.5" customHeight="1" x14ac:dyDescent="0.25">
      <c r="D13" s="13">
        <v>7</v>
      </c>
      <c r="E13" s="265" t="str">
        <f>'🧾 Factura Comercial'!E11</f>
        <v>Cargador Inalámbrico 15W Qi</v>
      </c>
      <c r="F13" s="266">
        <f>'🧾 Factura Comercial'!G11</f>
        <v>240</v>
      </c>
      <c r="G13" s="267">
        <f>'🧾 Factura Comercial'!H11</f>
        <v>5.71</v>
      </c>
      <c r="H13" s="268">
        <f>'🧾 Factura Comercial'!I11</f>
        <v>1370.4</v>
      </c>
      <c r="I13" s="311">
        <f>'🧾 Factura Comercial'!J11</f>
        <v>9.6413616101580446E-2</v>
      </c>
      <c r="J13" s="263">
        <f>IF(G5=0,0,G5*G13)</f>
        <v>7.4675438940857317</v>
      </c>
      <c r="K13" s="264">
        <f>J13*'📋 Datos Generales'!E19</f>
        <v>27.779263285998923</v>
      </c>
    </row>
    <row r="14" spans="4:11" ht="19.5" customHeight="1" x14ac:dyDescent="0.25">
      <c r="D14" s="13">
        <v>8</v>
      </c>
      <c r="E14" s="265" t="str">
        <f>'🧾 Factura Comercial'!E12</f>
        <v>Case Wallet Cuero PU Samsung S24</v>
      </c>
      <c r="F14" s="266">
        <f>'🧾 Factura Comercial'!G12</f>
        <v>1920</v>
      </c>
      <c r="G14" s="267">
        <f>'🧾 Factura Comercial'!H12</f>
        <v>0.76</v>
      </c>
      <c r="H14" s="268">
        <f>'🧾 Factura Comercial'!I12</f>
        <v>1459.2</v>
      </c>
      <c r="I14" s="311">
        <f>'🧾 Factura Comercial'!J12</f>
        <v>0.10266108334459004</v>
      </c>
      <c r="J14" s="263">
        <f>IF(G5=0,0,G5*G14)</f>
        <v>0.99392878450177868</v>
      </c>
      <c r="K14" s="264">
        <f>J14*'📋 Datos Generales'!E19</f>
        <v>3.6974150783466171</v>
      </c>
    </row>
    <row r="15" spans="4:11" ht="19.5" customHeight="1" x14ac:dyDescent="0.25">
      <c r="D15" s="13">
        <v>9</v>
      </c>
      <c r="E15" s="265" t="str">
        <f>'🧾 Factura Comercial'!E13</f>
        <v>Adaptador USB-C a Jack 3.5mm</v>
      </c>
      <c r="F15" s="266">
        <f>'🧾 Factura Comercial'!G13</f>
        <v>4800</v>
      </c>
      <c r="G15" s="267">
        <f>'🧾 Factura Comercial'!H13</f>
        <v>0.28000000000000003</v>
      </c>
      <c r="H15" s="268">
        <f>'🧾 Factura Comercial'!I13</f>
        <v>1344.0000000000002</v>
      </c>
      <c r="I15" s="311">
        <f>'🧾 Factura Comercial'!J13</f>
        <v>9.4556260975280304E-2</v>
      </c>
      <c r="J15" s="263">
        <f>IF(G5=0,0,G5*G15)</f>
        <v>0.36618428902697109</v>
      </c>
      <c r="K15" s="264">
        <f>J15*'📋 Datos Generales'!E19</f>
        <v>1.3622055551803325</v>
      </c>
    </row>
    <row r="16" spans="4:11" ht="19.5" customHeight="1" x14ac:dyDescent="0.25">
      <c r="D16" s="13">
        <v>10</v>
      </c>
      <c r="E16" s="265">
        <f>'🧾 Factura Comercial'!E14</f>
        <v>0</v>
      </c>
      <c r="F16" s="266">
        <f>'🧾 Factura Comercial'!G14</f>
        <v>0</v>
      </c>
      <c r="G16" s="267">
        <f>'🧾 Factura Comercial'!H14</f>
        <v>0</v>
      </c>
      <c r="H16" s="268">
        <f>'🧾 Factura Comercial'!I14</f>
        <v>0</v>
      </c>
      <c r="I16" s="311">
        <f>'🧾 Factura Comercial'!J14</f>
        <v>0</v>
      </c>
      <c r="J16" s="263">
        <f>IF(G5=0,0,G5*G16)</f>
        <v>0</v>
      </c>
      <c r="K16" s="264">
        <f>J16*'📋 Datos Generales'!E19</f>
        <v>0</v>
      </c>
    </row>
    <row r="17" spans="4:11" ht="19.5" customHeight="1" x14ac:dyDescent="0.25">
      <c r="D17" s="13">
        <v>11</v>
      </c>
      <c r="E17" s="265">
        <f>'🧾 Factura Comercial'!E15</f>
        <v>0</v>
      </c>
      <c r="F17" s="266">
        <f>'🧾 Factura Comercial'!G15</f>
        <v>0</v>
      </c>
      <c r="G17" s="267">
        <f>'🧾 Factura Comercial'!H15</f>
        <v>0</v>
      </c>
      <c r="H17" s="268">
        <f>'🧾 Factura Comercial'!I15</f>
        <v>0</v>
      </c>
      <c r="I17" s="311">
        <f>'🧾 Factura Comercial'!J15</f>
        <v>0</v>
      </c>
      <c r="J17" s="263">
        <f>IF(G5=0,0,G5*G17)</f>
        <v>0</v>
      </c>
      <c r="K17" s="264">
        <f>J17*'📋 Datos Generales'!E19</f>
        <v>0</v>
      </c>
    </row>
    <row r="18" spans="4:11" ht="19.5" customHeight="1" x14ac:dyDescent="0.25">
      <c r="D18" s="13">
        <v>12</v>
      </c>
      <c r="E18" s="265">
        <f>'🧾 Factura Comercial'!E16</f>
        <v>0</v>
      </c>
      <c r="F18" s="266">
        <f>'🧾 Factura Comercial'!G16</f>
        <v>0</v>
      </c>
      <c r="G18" s="267">
        <f>'🧾 Factura Comercial'!H16</f>
        <v>0</v>
      </c>
      <c r="H18" s="268">
        <f>'🧾 Factura Comercial'!I16</f>
        <v>0</v>
      </c>
      <c r="I18" s="311">
        <f>'🧾 Factura Comercial'!J16</f>
        <v>0</v>
      </c>
      <c r="J18" s="263">
        <f>IF(G5=0,0,G5*G18)</f>
        <v>0</v>
      </c>
      <c r="K18" s="264">
        <f>J18*'📋 Datos Generales'!E19</f>
        <v>0</v>
      </c>
    </row>
    <row r="19" spans="4:11" ht="19.5" customHeight="1" x14ac:dyDescent="0.25">
      <c r="D19" s="13">
        <v>13</v>
      </c>
      <c r="E19" s="265">
        <f>'🧾 Factura Comercial'!E17</f>
        <v>0</v>
      </c>
      <c r="F19" s="266">
        <f>'🧾 Factura Comercial'!G17</f>
        <v>0</v>
      </c>
      <c r="G19" s="267">
        <f>'🧾 Factura Comercial'!H17</f>
        <v>0</v>
      </c>
      <c r="H19" s="268">
        <f>'🧾 Factura Comercial'!I17</f>
        <v>0</v>
      </c>
      <c r="I19" s="311">
        <f>'🧾 Factura Comercial'!J17</f>
        <v>0</v>
      </c>
      <c r="J19" s="263">
        <f>IF(G5=0,0,G5*G19)</f>
        <v>0</v>
      </c>
      <c r="K19" s="264">
        <f>J19*'📋 Datos Generales'!E19</f>
        <v>0</v>
      </c>
    </row>
    <row r="20" spans="4:11" ht="19.5" customHeight="1" x14ac:dyDescent="0.25">
      <c r="D20" s="13">
        <v>14</v>
      </c>
      <c r="E20" s="265">
        <f>'🧾 Factura Comercial'!E18</f>
        <v>0</v>
      </c>
      <c r="F20" s="266">
        <f>'🧾 Factura Comercial'!G18</f>
        <v>0</v>
      </c>
      <c r="G20" s="267">
        <f>'🧾 Factura Comercial'!H18</f>
        <v>0</v>
      </c>
      <c r="H20" s="268">
        <f>'🧾 Factura Comercial'!I18</f>
        <v>0</v>
      </c>
      <c r="I20" s="311">
        <f>'🧾 Factura Comercial'!J18</f>
        <v>0</v>
      </c>
      <c r="J20" s="263">
        <f>IF(G5=0,0,G5*G20)</f>
        <v>0</v>
      </c>
      <c r="K20" s="264">
        <f>J20*'📋 Datos Generales'!E19</f>
        <v>0</v>
      </c>
    </row>
    <row r="21" spans="4:11" ht="19.5" customHeight="1" x14ac:dyDescent="0.25">
      <c r="D21" s="13">
        <v>15</v>
      </c>
      <c r="E21" s="265">
        <f>'🧾 Factura Comercial'!E19</f>
        <v>0</v>
      </c>
      <c r="F21" s="266">
        <f>'🧾 Factura Comercial'!G19</f>
        <v>0</v>
      </c>
      <c r="G21" s="267">
        <f>'🧾 Factura Comercial'!H19</f>
        <v>0</v>
      </c>
      <c r="H21" s="268">
        <f>'🧾 Factura Comercial'!I19</f>
        <v>0</v>
      </c>
      <c r="I21" s="311">
        <f>'🧾 Factura Comercial'!J19</f>
        <v>0</v>
      </c>
      <c r="J21" s="263">
        <f>IF(G5=0,0,G5*G21)</f>
        <v>0</v>
      </c>
      <c r="K21" s="264">
        <f>J21*'📋 Datos Generales'!E19</f>
        <v>0</v>
      </c>
    </row>
    <row r="22" spans="4:11" ht="19.5" customHeight="1" x14ac:dyDescent="0.25">
      <c r="D22" s="13">
        <v>16</v>
      </c>
      <c r="E22" s="265">
        <f>'🧾 Factura Comercial'!E20</f>
        <v>0</v>
      </c>
      <c r="F22" s="266">
        <f>'🧾 Factura Comercial'!G20</f>
        <v>0</v>
      </c>
      <c r="G22" s="267">
        <f>'🧾 Factura Comercial'!H20</f>
        <v>0</v>
      </c>
      <c r="H22" s="268">
        <f>'🧾 Factura Comercial'!I20</f>
        <v>0</v>
      </c>
      <c r="I22" s="311">
        <f>'🧾 Factura Comercial'!J20</f>
        <v>0</v>
      </c>
      <c r="J22" s="263">
        <f>IF(G5=0,0,G5*G22)</f>
        <v>0</v>
      </c>
      <c r="K22" s="264">
        <f>J22*'📋 Datos Generales'!E19</f>
        <v>0</v>
      </c>
    </row>
    <row r="23" spans="4:11" ht="19.5" customHeight="1" x14ac:dyDescent="0.25">
      <c r="D23" s="13">
        <v>17</v>
      </c>
      <c r="E23" s="265">
        <f>'🧾 Factura Comercial'!E21</f>
        <v>0</v>
      </c>
      <c r="F23" s="266">
        <f>'🧾 Factura Comercial'!G21</f>
        <v>0</v>
      </c>
      <c r="G23" s="267">
        <f>'🧾 Factura Comercial'!H21</f>
        <v>0</v>
      </c>
      <c r="H23" s="268">
        <f>'🧾 Factura Comercial'!I21</f>
        <v>0</v>
      </c>
      <c r="I23" s="311">
        <f>'🧾 Factura Comercial'!J21</f>
        <v>0</v>
      </c>
      <c r="J23" s="263">
        <f>IF(G5=0,0,G5*G23)</f>
        <v>0</v>
      </c>
      <c r="K23" s="264">
        <f>J23*'📋 Datos Generales'!E19</f>
        <v>0</v>
      </c>
    </row>
    <row r="24" spans="4:11" ht="19.5" customHeight="1" x14ac:dyDescent="0.25">
      <c r="D24" s="13">
        <v>18</v>
      </c>
      <c r="E24" s="265">
        <f>'🧾 Factura Comercial'!E22</f>
        <v>0</v>
      </c>
      <c r="F24" s="266">
        <f>'🧾 Factura Comercial'!G22</f>
        <v>0</v>
      </c>
      <c r="G24" s="267">
        <f>'🧾 Factura Comercial'!H22</f>
        <v>0</v>
      </c>
      <c r="H24" s="268">
        <f>'🧾 Factura Comercial'!I22</f>
        <v>0</v>
      </c>
      <c r="I24" s="311">
        <f>'🧾 Factura Comercial'!J22</f>
        <v>0</v>
      </c>
      <c r="J24" s="263">
        <f>IF(G5=0,0,G5*G24)</f>
        <v>0</v>
      </c>
      <c r="K24" s="264">
        <f>J24*'📋 Datos Generales'!E19</f>
        <v>0</v>
      </c>
    </row>
    <row r="25" spans="4:11" ht="19.5" customHeight="1" x14ac:dyDescent="0.25">
      <c r="D25" s="13">
        <v>19</v>
      </c>
      <c r="E25" s="265">
        <f>'🧾 Factura Comercial'!E23</f>
        <v>0</v>
      </c>
      <c r="F25" s="266">
        <f>'🧾 Factura Comercial'!G23</f>
        <v>0</v>
      </c>
      <c r="G25" s="267">
        <f>'🧾 Factura Comercial'!H23</f>
        <v>0</v>
      </c>
      <c r="H25" s="268">
        <f>'🧾 Factura Comercial'!I23</f>
        <v>0</v>
      </c>
      <c r="I25" s="311">
        <f>'🧾 Factura Comercial'!J23</f>
        <v>0</v>
      </c>
      <c r="J25" s="263">
        <f>IF(G5=0,0,G5*G25)</f>
        <v>0</v>
      </c>
      <c r="K25" s="264">
        <f>J25*'📋 Datos Generales'!E19</f>
        <v>0</v>
      </c>
    </row>
    <row r="26" spans="4:11" ht="19.5" customHeight="1" x14ac:dyDescent="0.25">
      <c r="D26" s="13">
        <v>20</v>
      </c>
      <c r="E26" s="265">
        <f>'🧾 Factura Comercial'!E24</f>
        <v>0</v>
      </c>
      <c r="F26" s="266">
        <f>'🧾 Factura Comercial'!G24</f>
        <v>0</v>
      </c>
      <c r="G26" s="267">
        <f>'🧾 Factura Comercial'!H24</f>
        <v>0</v>
      </c>
      <c r="H26" s="268">
        <f>'🧾 Factura Comercial'!I24</f>
        <v>0</v>
      </c>
      <c r="I26" s="311">
        <f>'🧾 Factura Comercial'!J24</f>
        <v>0</v>
      </c>
      <c r="J26" s="263">
        <f>IF(G5=0,0,G5*G26)</f>
        <v>0</v>
      </c>
      <c r="K26" s="264">
        <f>J26*'📋 Datos Generales'!E19</f>
        <v>0</v>
      </c>
    </row>
    <row r="27" spans="4:11" ht="19.5" customHeight="1" x14ac:dyDescent="0.25">
      <c r="D27" s="13">
        <v>21</v>
      </c>
      <c r="E27" s="265">
        <f>'🧾 Factura Comercial'!E25</f>
        <v>0</v>
      </c>
      <c r="F27" s="266">
        <f>'🧾 Factura Comercial'!G25</f>
        <v>0</v>
      </c>
      <c r="G27" s="267">
        <f>'🧾 Factura Comercial'!H25</f>
        <v>0</v>
      </c>
      <c r="H27" s="268">
        <f>'🧾 Factura Comercial'!I25</f>
        <v>0</v>
      </c>
      <c r="I27" s="311">
        <f>'🧾 Factura Comercial'!J25</f>
        <v>0</v>
      </c>
      <c r="J27" s="263">
        <f>IF(G5=0,0,G5*G27)</f>
        <v>0</v>
      </c>
      <c r="K27" s="264">
        <f>J27*'📋 Datos Generales'!E19</f>
        <v>0</v>
      </c>
    </row>
    <row r="28" spans="4:11" ht="19.5" customHeight="1" x14ac:dyDescent="0.25">
      <c r="D28" s="13">
        <v>22</v>
      </c>
      <c r="E28" s="265">
        <f>'🧾 Factura Comercial'!E26</f>
        <v>0</v>
      </c>
      <c r="F28" s="266">
        <f>'🧾 Factura Comercial'!G26</f>
        <v>0</v>
      </c>
      <c r="G28" s="267">
        <f>'🧾 Factura Comercial'!H26</f>
        <v>0</v>
      </c>
      <c r="H28" s="268">
        <f>'🧾 Factura Comercial'!I26</f>
        <v>0</v>
      </c>
      <c r="I28" s="311">
        <f>'🧾 Factura Comercial'!J26</f>
        <v>0</v>
      </c>
      <c r="J28" s="263">
        <f>IF(G5=0,0,G5*G28)</f>
        <v>0</v>
      </c>
      <c r="K28" s="264">
        <f>J28*'📋 Datos Generales'!E19</f>
        <v>0</v>
      </c>
    </row>
    <row r="29" spans="4:11" ht="19.5" customHeight="1" x14ac:dyDescent="0.25">
      <c r="D29" s="13">
        <v>23</v>
      </c>
      <c r="E29" s="265">
        <f>'🧾 Factura Comercial'!E27</f>
        <v>0</v>
      </c>
      <c r="F29" s="266">
        <f>'🧾 Factura Comercial'!G27</f>
        <v>0</v>
      </c>
      <c r="G29" s="267">
        <f>'🧾 Factura Comercial'!H27</f>
        <v>0</v>
      </c>
      <c r="H29" s="268">
        <f>'🧾 Factura Comercial'!I27</f>
        <v>0</v>
      </c>
      <c r="I29" s="311">
        <f>'🧾 Factura Comercial'!J27</f>
        <v>0</v>
      </c>
      <c r="J29" s="263">
        <f>IF(G5=0,0,G5*G29)</f>
        <v>0</v>
      </c>
      <c r="K29" s="264">
        <f>J29*'📋 Datos Generales'!E19</f>
        <v>0</v>
      </c>
    </row>
    <row r="30" spans="4:11" ht="19.5" customHeight="1" x14ac:dyDescent="0.25">
      <c r="D30" s="13">
        <v>24</v>
      </c>
      <c r="E30" s="265">
        <f>'🧾 Factura Comercial'!E28</f>
        <v>0</v>
      </c>
      <c r="F30" s="266">
        <f>'🧾 Factura Comercial'!G28</f>
        <v>0</v>
      </c>
      <c r="G30" s="267">
        <f>'🧾 Factura Comercial'!H28</f>
        <v>0</v>
      </c>
      <c r="H30" s="268">
        <f>'🧾 Factura Comercial'!I28</f>
        <v>0</v>
      </c>
      <c r="I30" s="311">
        <f>'🧾 Factura Comercial'!J28</f>
        <v>0</v>
      </c>
      <c r="J30" s="263">
        <f>IF(G5=0,0,G5*G30)</f>
        <v>0</v>
      </c>
      <c r="K30" s="264">
        <f>J30*'📋 Datos Generales'!E19</f>
        <v>0</v>
      </c>
    </row>
    <row r="31" spans="4:11" ht="19.5" customHeight="1" x14ac:dyDescent="0.25">
      <c r="D31" s="13">
        <v>25</v>
      </c>
      <c r="E31" s="265">
        <f>'🧾 Factura Comercial'!E29</f>
        <v>0</v>
      </c>
      <c r="F31" s="266">
        <f>'🧾 Factura Comercial'!G29</f>
        <v>0</v>
      </c>
      <c r="G31" s="267">
        <f>'🧾 Factura Comercial'!H29</f>
        <v>0</v>
      </c>
      <c r="H31" s="268">
        <f>'🧾 Factura Comercial'!I29</f>
        <v>0</v>
      </c>
      <c r="I31" s="311">
        <f>'🧾 Factura Comercial'!J29</f>
        <v>0</v>
      </c>
      <c r="J31" s="263">
        <f>IF(G5=0,0,G5*G31)</f>
        <v>0</v>
      </c>
      <c r="K31" s="264">
        <f>J31*'📋 Datos Generales'!E19</f>
        <v>0</v>
      </c>
    </row>
    <row r="32" spans="4:11" ht="19.5" customHeight="1" x14ac:dyDescent="0.25">
      <c r="D32" s="13">
        <v>26</v>
      </c>
      <c r="E32" s="265">
        <f>'🧾 Factura Comercial'!E30</f>
        <v>0</v>
      </c>
      <c r="F32" s="266">
        <f>'🧾 Factura Comercial'!G30</f>
        <v>0</v>
      </c>
      <c r="G32" s="267">
        <f>'🧾 Factura Comercial'!H30</f>
        <v>0</v>
      </c>
      <c r="H32" s="268">
        <f>'🧾 Factura Comercial'!I30</f>
        <v>0</v>
      </c>
      <c r="I32" s="311">
        <f>'🧾 Factura Comercial'!J30</f>
        <v>0</v>
      </c>
      <c r="J32" s="263">
        <f>IF(G5=0,0,G5*G32)</f>
        <v>0</v>
      </c>
      <c r="K32" s="264">
        <f>J32*'📋 Datos Generales'!E19</f>
        <v>0</v>
      </c>
    </row>
    <row r="33" spans="4:11" ht="19.5" customHeight="1" x14ac:dyDescent="0.25">
      <c r="D33" s="13">
        <v>27</v>
      </c>
      <c r="E33" s="265">
        <f>'🧾 Factura Comercial'!E31</f>
        <v>0</v>
      </c>
      <c r="F33" s="266">
        <f>'🧾 Factura Comercial'!G31</f>
        <v>0</v>
      </c>
      <c r="G33" s="267">
        <f>'🧾 Factura Comercial'!H31</f>
        <v>0</v>
      </c>
      <c r="H33" s="268">
        <f>'🧾 Factura Comercial'!I31</f>
        <v>0</v>
      </c>
      <c r="I33" s="311">
        <f>'🧾 Factura Comercial'!J31</f>
        <v>0</v>
      </c>
      <c r="J33" s="263">
        <f>IF(G5=0,0,G5*G33)</f>
        <v>0</v>
      </c>
      <c r="K33" s="264">
        <f>J33*'📋 Datos Generales'!E19</f>
        <v>0</v>
      </c>
    </row>
    <row r="34" spans="4:11" ht="19.5" customHeight="1" x14ac:dyDescent="0.25">
      <c r="D34" s="13">
        <v>28</v>
      </c>
      <c r="E34" s="265">
        <f>'🧾 Factura Comercial'!E32</f>
        <v>0</v>
      </c>
      <c r="F34" s="266">
        <f>'🧾 Factura Comercial'!G32</f>
        <v>0</v>
      </c>
      <c r="G34" s="267">
        <f>'🧾 Factura Comercial'!H32</f>
        <v>0</v>
      </c>
      <c r="H34" s="268">
        <f>'🧾 Factura Comercial'!I32</f>
        <v>0</v>
      </c>
      <c r="I34" s="311">
        <f>'🧾 Factura Comercial'!J32</f>
        <v>0</v>
      </c>
      <c r="J34" s="263">
        <f>IF(G5=0,0,G5*G34)</f>
        <v>0</v>
      </c>
      <c r="K34" s="264">
        <f>J34*'📋 Datos Generales'!E19</f>
        <v>0</v>
      </c>
    </row>
    <row r="35" spans="4:11" ht="19.5" customHeight="1" x14ac:dyDescent="0.25">
      <c r="D35" s="13">
        <v>29</v>
      </c>
      <c r="E35" s="265">
        <f>'🧾 Factura Comercial'!E33</f>
        <v>0</v>
      </c>
      <c r="F35" s="266">
        <f>'🧾 Factura Comercial'!G33</f>
        <v>0</v>
      </c>
      <c r="G35" s="267">
        <f>'🧾 Factura Comercial'!H33</f>
        <v>0</v>
      </c>
      <c r="H35" s="268">
        <f>'🧾 Factura Comercial'!I33</f>
        <v>0</v>
      </c>
      <c r="I35" s="311">
        <f>'🧾 Factura Comercial'!J33</f>
        <v>0</v>
      </c>
      <c r="J35" s="263">
        <f>IF(G5=0,0,G5*G35)</f>
        <v>0</v>
      </c>
      <c r="K35" s="264">
        <f>J35*'📋 Datos Generales'!E19</f>
        <v>0</v>
      </c>
    </row>
    <row r="36" spans="4:11" ht="19.5" customHeight="1" x14ac:dyDescent="0.25">
      <c r="D36" s="13">
        <v>30</v>
      </c>
      <c r="E36" s="265">
        <f>'🧾 Factura Comercial'!E34</f>
        <v>0</v>
      </c>
      <c r="F36" s="266">
        <f>'🧾 Factura Comercial'!G34</f>
        <v>0</v>
      </c>
      <c r="G36" s="267">
        <f>'🧾 Factura Comercial'!H34</f>
        <v>0</v>
      </c>
      <c r="H36" s="268">
        <f>'🧾 Factura Comercial'!I34</f>
        <v>0</v>
      </c>
      <c r="I36" s="311">
        <f>'🧾 Factura Comercial'!J34</f>
        <v>0</v>
      </c>
      <c r="J36" s="263">
        <f>IF(G5=0,0,G5*G36)</f>
        <v>0</v>
      </c>
      <c r="K36" s="264">
        <f>J36*'📋 Datos Generales'!E19</f>
        <v>0</v>
      </c>
    </row>
    <row r="37" spans="4:11" s="93" customFormat="1" x14ac:dyDescent="0.25"/>
    <row r="38" spans="4:11" s="93" customFormat="1" x14ac:dyDescent="0.25"/>
    <row r="39" spans="4:11" s="93" customFormat="1" x14ac:dyDescent="0.25"/>
    <row r="40" spans="4:11" s="93" customFormat="1" x14ac:dyDescent="0.25"/>
    <row r="41" spans="4:11" s="93" customFormat="1" x14ac:dyDescent="0.25"/>
    <row r="42" spans="4:11" s="93" customFormat="1" x14ac:dyDescent="0.25"/>
    <row r="43" spans="4:11" s="93" customFormat="1" x14ac:dyDescent="0.25"/>
    <row r="44" spans="4:11" s="93" customFormat="1" x14ac:dyDescent="0.25"/>
    <row r="45" spans="4:11" s="93" customFormat="1" x14ac:dyDescent="0.25"/>
    <row r="46" spans="4:11" s="93" customFormat="1" x14ac:dyDescent="0.25"/>
    <row r="47" spans="4:11" s="93" customFormat="1" x14ac:dyDescent="0.25"/>
    <row r="48" spans="4:11" s="93" customFormat="1" x14ac:dyDescent="0.25"/>
    <row r="49" s="93" customFormat="1" x14ac:dyDescent="0.25"/>
    <row r="50" s="93" customFormat="1" x14ac:dyDescent="0.25"/>
    <row r="51" s="93" customFormat="1" x14ac:dyDescent="0.25"/>
    <row r="52" s="93" customFormat="1" x14ac:dyDescent="0.25"/>
    <row r="53" s="93" customFormat="1" x14ac:dyDescent="0.25"/>
    <row r="54" s="93" customFormat="1" x14ac:dyDescent="0.25"/>
    <row r="55" s="93" customFormat="1" x14ac:dyDescent="0.25"/>
    <row r="56" s="93" customFormat="1" x14ac:dyDescent="0.25"/>
    <row r="57" s="93" customFormat="1" x14ac:dyDescent="0.25"/>
    <row r="58" s="93" customFormat="1" x14ac:dyDescent="0.25"/>
    <row r="59" s="93" customFormat="1" x14ac:dyDescent="0.25"/>
    <row r="60" s="93" customFormat="1" x14ac:dyDescent="0.25"/>
    <row r="61" s="93" customFormat="1" x14ac:dyDescent="0.25"/>
    <row r="62" s="93" customFormat="1" x14ac:dyDescent="0.25"/>
    <row r="63" s="93" customFormat="1" x14ac:dyDescent="0.25"/>
    <row r="64" s="93" customFormat="1" x14ac:dyDescent="0.25"/>
    <row r="65" s="93" customFormat="1" x14ac:dyDescent="0.25"/>
    <row r="66" s="93" customFormat="1" x14ac:dyDescent="0.25"/>
    <row r="67" s="93" customFormat="1" x14ac:dyDescent="0.25"/>
    <row r="68" s="93" customFormat="1" x14ac:dyDescent="0.25"/>
    <row r="69" s="93" customFormat="1" x14ac:dyDescent="0.25"/>
    <row r="70" s="93" customFormat="1" x14ac:dyDescent="0.25"/>
    <row r="71" s="93" customFormat="1" x14ac:dyDescent="0.25"/>
    <row r="72" s="93" customFormat="1" x14ac:dyDescent="0.25"/>
    <row r="73" s="93" customFormat="1" x14ac:dyDescent="0.25"/>
    <row r="74" s="93" customFormat="1" x14ac:dyDescent="0.25"/>
    <row r="75" s="93" customFormat="1" x14ac:dyDescent="0.25"/>
    <row r="76" s="93" customFormat="1" x14ac:dyDescent="0.25"/>
    <row r="77" s="93" customFormat="1" x14ac:dyDescent="0.25"/>
    <row r="78" s="93" customFormat="1" x14ac:dyDescent="0.25"/>
    <row r="79" s="93" customFormat="1" x14ac:dyDescent="0.25"/>
    <row r="80" s="93" customFormat="1" x14ac:dyDescent="0.25"/>
    <row r="81" s="93" customFormat="1" x14ac:dyDescent="0.25"/>
    <row r="82" s="93" customFormat="1" x14ac:dyDescent="0.25"/>
    <row r="83" s="93" customFormat="1" x14ac:dyDescent="0.25"/>
    <row r="84" s="93" customFormat="1" x14ac:dyDescent="0.25"/>
    <row r="85" s="93" customFormat="1" x14ac:dyDescent="0.25"/>
    <row r="86" s="93" customFormat="1" x14ac:dyDescent="0.25"/>
    <row r="87" s="93" customFormat="1" x14ac:dyDescent="0.25"/>
    <row r="88" s="93" customFormat="1" x14ac:dyDescent="0.25"/>
    <row r="89" s="93" customFormat="1" x14ac:dyDescent="0.25"/>
    <row r="90" s="93" customFormat="1" x14ac:dyDescent="0.25"/>
    <row r="91" s="93" customFormat="1" x14ac:dyDescent="0.25"/>
    <row r="92" s="93" customFormat="1" x14ac:dyDescent="0.25"/>
    <row r="93" s="93" customFormat="1" x14ac:dyDescent="0.25"/>
    <row r="94" s="93" customFormat="1" x14ac:dyDescent="0.25"/>
    <row r="95" s="93" customFormat="1" x14ac:dyDescent="0.25"/>
    <row r="96" s="93" customFormat="1" x14ac:dyDescent="0.25"/>
    <row r="97" s="93" customFormat="1" x14ac:dyDescent="0.25"/>
    <row r="98" s="93" customFormat="1" x14ac:dyDescent="0.25"/>
    <row r="99" s="93" customFormat="1" x14ac:dyDescent="0.25"/>
    <row r="100" s="93" customFormat="1" x14ac:dyDescent="0.25"/>
    <row r="101" s="93" customFormat="1" x14ac:dyDescent="0.25"/>
    <row r="102" s="93" customFormat="1" x14ac:dyDescent="0.25"/>
    <row r="103" s="93" customFormat="1" x14ac:dyDescent="0.25"/>
    <row r="104" s="93" customFormat="1" x14ac:dyDescent="0.25"/>
    <row r="105" s="93" customFormat="1" x14ac:dyDescent="0.25"/>
    <row r="106" s="93" customFormat="1" x14ac:dyDescent="0.25"/>
    <row r="107" s="93" customFormat="1" x14ac:dyDescent="0.25"/>
    <row r="108" s="93" customFormat="1" x14ac:dyDescent="0.25"/>
    <row r="109" s="93" customFormat="1" x14ac:dyDescent="0.25"/>
    <row r="110" s="93" customFormat="1" x14ac:dyDescent="0.25"/>
    <row r="111" s="93" customFormat="1" x14ac:dyDescent="0.25"/>
    <row r="112" s="93" customFormat="1" x14ac:dyDescent="0.25"/>
    <row r="113" s="93" customFormat="1" x14ac:dyDescent="0.25"/>
    <row r="114" s="93" customFormat="1" x14ac:dyDescent="0.25"/>
    <row r="115" s="93" customFormat="1" x14ac:dyDescent="0.25"/>
    <row r="116" s="93" customFormat="1" x14ac:dyDescent="0.25"/>
    <row r="117" s="93" customFormat="1" x14ac:dyDescent="0.25"/>
    <row r="118" s="93" customFormat="1" x14ac:dyDescent="0.25"/>
    <row r="119" s="93" customFormat="1" x14ac:dyDescent="0.25"/>
    <row r="120" s="93" customFormat="1" x14ac:dyDescent="0.25"/>
    <row r="121" s="93" customFormat="1" x14ac:dyDescent="0.25"/>
    <row r="122" s="93" customFormat="1" x14ac:dyDescent="0.25"/>
    <row r="123" s="93" customFormat="1" x14ac:dyDescent="0.25"/>
    <row r="124" s="93" customFormat="1" x14ac:dyDescent="0.25"/>
    <row r="125" s="93" customFormat="1" x14ac:dyDescent="0.25"/>
    <row r="126" s="93" customFormat="1" x14ac:dyDescent="0.25"/>
    <row r="127" s="93" customFormat="1" x14ac:dyDescent="0.25"/>
    <row r="128" s="93" customFormat="1" x14ac:dyDescent="0.25"/>
    <row r="129" s="93" customFormat="1" x14ac:dyDescent="0.25"/>
    <row r="130" s="93" customFormat="1" x14ac:dyDescent="0.25"/>
    <row r="131" s="93" customFormat="1" x14ac:dyDescent="0.25"/>
    <row r="132" s="93" customFormat="1" x14ac:dyDescent="0.25"/>
    <row r="133" s="93" customFormat="1" x14ac:dyDescent="0.25"/>
    <row r="134" s="93" customFormat="1" x14ac:dyDescent="0.25"/>
    <row r="135" s="93" customFormat="1" x14ac:dyDescent="0.25"/>
    <row r="136" s="93" customFormat="1" x14ac:dyDescent="0.25"/>
    <row r="137" s="93" customFormat="1" x14ac:dyDescent="0.25"/>
    <row r="138" s="93" customFormat="1" x14ac:dyDescent="0.25"/>
    <row r="139" s="93" customFormat="1" x14ac:dyDescent="0.25"/>
    <row r="140" s="93" customFormat="1" x14ac:dyDescent="0.25"/>
    <row r="141" s="93" customFormat="1" x14ac:dyDescent="0.25"/>
    <row r="142" s="93" customFormat="1" x14ac:dyDescent="0.25"/>
    <row r="143" s="93" customFormat="1" x14ac:dyDescent="0.25"/>
    <row r="144" s="93" customFormat="1" x14ac:dyDescent="0.25"/>
    <row r="145" s="93" customFormat="1" x14ac:dyDescent="0.25"/>
    <row r="146" s="93" customFormat="1" x14ac:dyDescent="0.25"/>
    <row r="147" s="93" customFormat="1" x14ac:dyDescent="0.25"/>
    <row r="148" s="93" customFormat="1" x14ac:dyDescent="0.25"/>
    <row r="149" s="93" customFormat="1" x14ac:dyDescent="0.25"/>
    <row r="150" s="93" customFormat="1" x14ac:dyDescent="0.25"/>
    <row r="151" s="93" customFormat="1" x14ac:dyDescent="0.25"/>
    <row r="152" s="93" customFormat="1" x14ac:dyDescent="0.25"/>
    <row r="153" s="93" customFormat="1" x14ac:dyDescent="0.25"/>
    <row r="154" s="93" customFormat="1" x14ac:dyDescent="0.25"/>
    <row r="155" s="93" customFormat="1" x14ac:dyDescent="0.25"/>
    <row r="156" s="93" customFormat="1" x14ac:dyDescent="0.25"/>
    <row r="157" s="93" customFormat="1" x14ac:dyDescent="0.25"/>
    <row r="158" s="93" customFormat="1" x14ac:dyDescent="0.25"/>
    <row r="159" s="93" customFormat="1" x14ac:dyDescent="0.25"/>
    <row r="160" s="93" customFormat="1" x14ac:dyDescent="0.25"/>
    <row r="161" s="93" customFormat="1" x14ac:dyDescent="0.25"/>
    <row r="162" s="93" customFormat="1" x14ac:dyDescent="0.25"/>
    <row r="163" s="93" customFormat="1" x14ac:dyDescent="0.25"/>
    <row r="164" s="93" customFormat="1" x14ac:dyDescent="0.25"/>
    <row r="165" s="93" customFormat="1" x14ac:dyDescent="0.25"/>
    <row r="166" s="93" customFormat="1" x14ac:dyDescent="0.25"/>
    <row r="167" s="93" customFormat="1" x14ac:dyDescent="0.25"/>
    <row r="168" s="93" customFormat="1" x14ac:dyDescent="0.25"/>
    <row r="169" s="93" customFormat="1" x14ac:dyDescent="0.25"/>
    <row r="170" s="93" customFormat="1" x14ac:dyDescent="0.25"/>
    <row r="171" s="93" customFormat="1" x14ac:dyDescent="0.25"/>
    <row r="172" s="93" customFormat="1" x14ac:dyDescent="0.25"/>
    <row r="173" s="93" customFormat="1" x14ac:dyDescent="0.25"/>
    <row r="174" s="93" customFormat="1" x14ac:dyDescent="0.25"/>
    <row r="175" s="93" customFormat="1" x14ac:dyDescent="0.25"/>
    <row r="176" s="93" customFormat="1" x14ac:dyDescent="0.25"/>
    <row r="177" s="93" customFormat="1" x14ac:dyDescent="0.25"/>
    <row r="178" s="93" customFormat="1" x14ac:dyDescent="0.25"/>
    <row r="179" s="93" customFormat="1" x14ac:dyDescent="0.25"/>
    <row r="180" s="93" customFormat="1" x14ac:dyDescent="0.25"/>
    <row r="181" s="93" customFormat="1" x14ac:dyDescent="0.25"/>
    <row r="182" s="93" customFormat="1" x14ac:dyDescent="0.25"/>
    <row r="183" s="93" customFormat="1" x14ac:dyDescent="0.25"/>
    <row r="184" s="93" customFormat="1" x14ac:dyDescent="0.25"/>
    <row r="185" s="93" customFormat="1" x14ac:dyDescent="0.25"/>
    <row r="186" s="93" customFormat="1" x14ac:dyDescent="0.25"/>
    <row r="187" s="93" customFormat="1" x14ac:dyDescent="0.25"/>
    <row r="188" s="93" customFormat="1" x14ac:dyDescent="0.25"/>
    <row r="189" s="93" customFormat="1" x14ac:dyDescent="0.25"/>
    <row r="190" s="93" customFormat="1" x14ac:dyDescent="0.25"/>
    <row r="191" s="93" customFormat="1" x14ac:dyDescent="0.25"/>
    <row r="192" s="93" customFormat="1" x14ac:dyDescent="0.25"/>
    <row r="193" s="93" customFormat="1" x14ac:dyDescent="0.25"/>
    <row r="194" s="93" customFormat="1" x14ac:dyDescent="0.25"/>
    <row r="195" s="93" customFormat="1" x14ac:dyDescent="0.25"/>
    <row r="196" s="93" customFormat="1" x14ac:dyDescent="0.25"/>
    <row r="197" s="93" customFormat="1" x14ac:dyDescent="0.25"/>
    <row r="198" s="93" customFormat="1" x14ac:dyDescent="0.25"/>
    <row r="199" s="93" customFormat="1" x14ac:dyDescent="0.25"/>
    <row r="200" s="93" customFormat="1" x14ac:dyDescent="0.25"/>
    <row r="201" s="93" customFormat="1" x14ac:dyDescent="0.25"/>
    <row r="202" s="93" customFormat="1" x14ac:dyDescent="0.25"/>
    <row r="203" s="93" customFormat="1" x14ac:dyDescent="0.25"/>
    <row r="204" s="93" customFormat="1" x14ac:dyDescent="0.25"/>
    <row r="205" s="93" customFormat="1" x14ac:dyDescent="0.25"/>
    <row r="206" s="93" customFormat="1" x14ac:dyDescent="0.25"/>
    <row r="207" s="93" customFormat="1" x14ac:dyDescent="0.25"/>
    <row r="208" s="93" customFormat="1" x14ac:dyDescent="0.25"/>
    <row r="209" s="93" customFormat="1" x14ac:dyDescent="0.25"/>
    <row r="210" s="93" customFormat="1" x14ac:dyDescent="0.25"/>
    <row r="211" s="93" customFormat="1" x14ac:dyDescent="0.25"/>
    <row r="212" s="93" customFormat="1" x14ac:dyDescent="0.25"/>
    <row r="213" s="93" customFormat="1" x14ac:dyDescent="0.25"/>
    <row r="214" s="93" customFormat="1" x14ac:dyDescent="0.25"/>
    <row r="215" s="93" customFormat="1" x14ac:dyDescent="0.25"/>
    <row r="216" s="93" customFormat="1" x14ac:dyDescent="0.25"/>
    <row r="217" s="93" customFormat="1" x14ac:dyDescent="0.25"/>
    <row r="218" s="93" customFormat="1" x14ac:dyDescent="0.25"/>
    <row r="219" s="93" customFormat="1" x14ac:dyDescent="0.25"/>
    <row r="220" s="93" customFormat="1" x14ac:dyDescent="0.25"/>
    <row r="221" s="93" customFormat="1" x14ac:dyDescent="0.25"/>
    <row r="222" s="93" customFormat="1" x14ac:dyDescent="0.25"/>
    <row r="223" s="93" customFormat="1" x14ac:dyDescent="0.25"/>
    <row r="224" s="93" customFormat="1" x14ac:dyDescent="0.25"/>
    <row r="225" s="93" customFormat="1" x14ac:dyDescent="0.25"/>
    <row r="226" s="93" customFormat="1" x14ac:dyDescent="0.25"/>
    <row r="227" s="93" customFormat="1" x14ac:dyDescent="0.25"/>
    <row r="228" s="93" customFormat="1" x14ac:dyDescent="0.25"/>
    <row r="229" s="93" customFormat="1" x14ac:dyDescent="0.25"/>
    <row r="230" s="93" customFormat="1" x14ac:dyDescent="0.25"/>
    <row r="231" s="93" customFormat="1" x14ac:dyDescent="0.25"/>
    <row r="232" s="93" customFormat="1" x14ac:dyDescent="0.25"/>
    <row r="233" s="93" customFormat="1" x14ac:dyDescent="0.25"/>
    <row r="234" s="93" customFormat="1" x14ac:dyDescent="0.25"/>
    <row r="235" s="93" customFormat="1" x14ac:dyDescent="0.25"/>
    <row r="236" s="93" customFormat="1" x14ac:dyDescent="0.25"/>
    <row r="237" s="93" customFormat="1" x14ac:dyDescent="0.25"/>
    <row r="238" s="93" customFormat="1" x14ac:dyDescent="0.25"/>
    <row r="239" s="93" customFormat="1" x14ac:dyDescent="0.25"/>
    <row r="240" s="93" customFormat="1" x14ac:dyDescent="0.25"/>
    <row r="241" s="93" customFormat="1" x14ac:dyDescent="0.25"/>
    <row r="242" s="93" customFormat="1" x14ac:dyDescent="0.25"/>
    <row r="243" s="93" customFormat="1" x14ac:dyDescent="0.25"/>
    <row r="244" s="93" customFormat="1" x14ac:dyDescent="0.25"/>
    <row r="245" s="93" customFormat="1" x14ac:dyDescent="0.25"/>
    <row r="246" s="93" customFormat="1" x14ac:dyDescent="0.25"/>
    <row r="247" s="93" customFormat="1" x14ac:dyDescent="0.25"/>
    <row r="248" s="93" customFormat="1" x14ac:dyDescent="0.25"/>
    <row r="249" s="93" customFormat="1" x14ac:dyDescent="0.25"/>
    <row r="250" s="93" customFormat="1" x14ac:dyDescent="0.25"/>
    <row r="251" s="93" customFormat="1" x14ac:dyDescent="0.25"/>
    <row r="252" s="93" customFormat="1" x14ac:dyDescent="0.25"/>
    <row r="253" s="93" customFormat="1" x14ac:dyDescent="0.25"/>
    <row r="254" s="93" customFormat="1" x14ac:dyDescent="0.25"/>
    <row r="255" s="93" customFormat="1" x14ac:dyDescent="0.25"/>
    <row r="256" s="93" customFormat="1" x14ac:dyDescent="0.25"/>
    <row r="257" s="93" customFormat="1" x14ac:dyDescent="0.25"/>
    <row r="258" s="93" customFormat="1" x14ac:dyDescent="0.25"/>
    <row r="259" s="93" customFormat="1" x14ac:dyDescent="0.25"/>
    <row r="260" s="93" customFormat="1" x14ac:dyDescent="0.25"/>
    <row r="261" s="93" customFormat="1" x14ac:dyDescent="0.25"/>
    <row r="262" s="93" customFormat="1" x14ac:dyDescent="0.25"/>
    <row r="263" s="93" customFormat="1" x14ac:dyDescent="0.25"/>
    <row r="264" s="93" customFormat="1" x14ac:dyDescent="0.25"/>
    <row r="265" s="93" customFormat="1" x14ac:dyDescent="0.25"/>
    <row r="266" s="93" customFormat="1" x14ac:dyDescent="0.25"/>
    <row r="267" s="93" customFormat="1" x14ac:dyDescent="0.25"/>
    <row r="268" s="93" customFormat="1" x14ac:dyDescent="0.25"/>
    <row r="269" s="93" customFormat="1" x14ac:dyDescent="0.25"/>
    <row r="270" s="93" customFormat="1" x14ac:dyDescent="0.25"/>
    <row r="271" s="93" customFormat="1" x14ac:dyDescent="0.25"/>
    <row r="272" s="93" customFormat="1" x14ac:dyDescent="0.25"/>
    <row r="273" s="93" customFormat="1" x14ac:dyDescent="0.25"/>
    <row r="274" s="93" customFormat="1" x14ac:dyDescent="0.25"/>
    <row r="275" s="93" customFormat="1" x14ac:dyDescent="0.25"/>
    <row r="276" s="93" customFormat="1" x14ac:dyDescent="0.25"/>
    <row r="277" s="93" customFormat="1" x14ac:dyDescent="0.25"/>
    <row r="278" s="93" customFormat="1" x14ac:dyDescent="0.25"/>
    <row r="279" s="93" customFormat="1" x14ac:dyDescent="0.25"/>
    <row r="280" s="93" customFormat="1" x14ac:dyDescent="0.25"/>
    <row r="281" s="93" customFormat="1" x14ac:dyDescent="0.25"/>
    <row r="282" s="93" customFormat="1" x14ac:dyDescent="0.25"/>
    <row r="283" s="93" customFormat="1" x14ac:dyDescent="0.25"/>
    <row r="284" s="93" customFormat="1" x14ac:dyDescent="0.25"/>
    <row r="285" s="93" customFormat="1" x14ac:dyDescent="0.25"/>
    <row r="286" s="93" customFormat="1" x14ac:dyDescent="0.25"/>
    <row r="287" s="93" customFormat="1" x14ac:dyDescent="0.25"/>
    <row r="288" s="93" customFormat="1" x14ac:dyDescent="0.25"/>
    <row r="289" s="93" customFormat="1" x14ac:dyDescent="0.25"/>
    <row r="290" s="93" customFormat="1" x14ac:dyDescent="0.25"/>
    <row r="291" s="93" customFormat="1" x14ac:dyDescent="0.25"/>
    <row r="292" s="93" customFormat="1" x14ac:dyDescent="0.25"/>
    <row r="293" s="93" customFormat="1" x14ac:dyDescent="0.25"/>
    <row r="294" s="93" customFormat="1" x14ac:dyDescent="0.25"/>
    <row r="295" s="93" customFormat="1" x14ac:dyDescent="0.25"/>
    <row r="296" s="93" customFormat="1" x14ac:dyDescent="0.25"/>
    <row r="297" s="93" customFormat="1" x14ac:dyDescent="0.25"/>
    <row r="298" s="93" customFormat="1" x14ac:dyDescent="0.25"/>
    <row r="299" s="93" customFormat="1" x14ac:dyDescent="0.25"/>
    <row r="300" s="93" customFormat="1" x14ac:dyDescent="0.25"/>
    <row r="301" s="93" customFormat="1" x14ac:dyDescent="0.25"/>
    <row r="302" s="93" customFormat="1" x14ac:dyDescent="0.25"/>
    <row r="303" s="93" customFormat="1" x14ac:dyDescent="0.25"/>
    <row r="304" s="93" customFormat="1" x14ac:dyDescent="0.25"/>
    <row r="305" s="93" customFormat="1" x14ac:dyDescent="0.25"/>
    <row r="306" s="93" customFormat="1" x14ac:dyDescent="0.25"/>
    <row r="307" s="93" customFormat="1" x14ac:dyDescent="0.25"/>
    <row r="308" s="93" customFormat="1" x14ac:dyDescent="0.25"/>
    <row r="309" s="93" customFormat="1" x14ac:dyDescent="0.25"/>
    <row r="310" s="93" customFormat="1" x14ac:dyDescent="0.25"/>
    <row r="311" s="93" customFormat="1" x14ac:dyDescent="0.25"/>
    <row r="312" s="93" customFormat="1" x14ac:dyDescent="0.25"/>
    <row r="313" s="93" customFormat="1" x14ac:dyDescent="0.25"/>
    <row r="314" s="93" customFormat="1" x14ac:dyDescent="0.25"/>
    <row r="315" s="93" customFormat="1" x14ac:dyDescent="0.25"/>
    <row r="316" s="93" customFormat="1" x14ac:dyDescent="0.25"/>
    <row r="317" s="93" customFormat="1" x14ac:dyDescent="0.25"/>
    <row r="318" s="93" customFormat="1" x14ac:dyDescent="0.25"/>
    <row r="319" s="93" customFormat="1" x14ac:dyDescent="0.25"/>
    <row r="320" s="93" customFormat="1" x14ac:dyDescent="0.25"/>
    <row r="321" s="93" customFormat="1" x14ac:dyDescent="0.25"/>
    <row r="322" s="93" customFormat="1" x14ac:dyDescent="0.25"/>
    <row r="323" s="93" customFormat="1" x14ac:dyDescent="0.25"/>
    <row r="324" s="93" customFormat="1" x14ac:dyDescent="0.25"/>
    <row r="325" s="93" customFormat="1" x14ac:dyDescent="0.25"/>
    <row r="326" s="93" customFormat="1" x14ac:dyDescent="0.25"/>
    <row r="327" s="93" customFormat="1" x14ac:dyDescent="0.25"/>
    <row r="328" s="93" customFormat="1" x14ac:dyDescent="0.25"/>
    <row r="329" s="93" customFormat="1" x14ac:dyDescent="0.25"/>
    <row r="330" s="93" customFormat="1" x14ac:dyDescent="0.25"/>
    <row r="331" s="93" customFormat="1" x14ac:dyDescent="0.25"/>
    <row r="332" s="93" customFormat="1" x14ac:dyDescent="0.25"/>
    <row r="333" s="93" customFormat="1" x14ac:dyDescent="0.25"/>
    <row r="334" s="93" customFormat="1" x14ac:dyDescent="0.25"/>
    <row r="335" s="93" customFormat="1" x14ac:dyDescent="0.25"/>
    <row r="336" s="93" customFormat="1" x14ac:dyDescent="0.25"/>
    <row r="337" s="93" customFormat="1" x14ac:dyDescent="0.25"/>
    <row r="338" s="93" customFormat="1" x14ac:dyDescent="0.25"/>
    <row r="339" s="93" customFormat="1" x14ac:dyDescent="0.25"/>
    <row r="340" s="93" customFormat="1" x14ac:dyDescent="0.25"/>
    <row r="341" s="93" customFormat="1" x14ac:dyDescent="0.25"/>
    <row r="342" s="93" customFormat="1" x14ac:dyDescent="0.25"/>
    <row r="343" s="93" customFormat="1" x14ac:dyDescent="0.25"/>
    <row r="344" s="93" customFormat="1" x14ac:dyDescent="0.25"/>
    <row r="345" s="93" customFormat="1" x14ac:dyDescent="0.25"/>
    <row r="346" s="93" customFormat="1" x14ac:dyDescent="0.25"/>
    <row r="347" s="93" customFormat="1" x14ac:dyDescent="0.25"/>
    <row r="348" s="93" customFormat="1" x14ac:dyDescent="0.25"/>
    <row r="349" s="93" customFormat="1" x14ac:dyDescent="0.25"/>
  </sheetData>
  <mergeCells count="7">
    <mergeCell ref="D5:F5"/>
    <mergeCell ref="D2:K2"/>
    <mergeCell ref="D3:K3"/>
    <mergeCell ref="I4:K4"/>
    <mergeCell ref="G5:K5"/>
    <mergeCell ref="D4:F4"/>
    <mergeCell ref="G4:H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-0.499984740745262"/>
  </sheetPr>
  <dimension ref="A1:BP347"/>
  <sheetViews>
    <sheetView showGridLines="0" showRowColHeaders="0" zoomScale="85" zoomScaleNormal="85" workbookViewId="0">
      <selection activeCell="H16" sqref="H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1" width="3.28515625" style="93" customWidth="1"/>
    <col min="2" max="2" width="8.7109375" style="93" customWidth="1"/>
    <col min="3" max="3" width="4" style="93" customWidth="1"/>
    <col min="4" max="4" width="3" bestFit="1" customWidth="1"/>
    <col min="5" max="5" width="39" customWidth="1"/>
    <col min="6" max="6" width="11.7109375" bestFit="1" customWidth="1"/>
    <col min="7" max="7" width="9.85546875" bestFit="1" customWidth="1"/>
    <col min="8" max="9" width="23.140625" customWidth="1"/>
    <col min="10" max="10" width="12.85546875" bestFit="1" customWidth="1"/>
    <col min="11" max="11" width="12.42578125" bestFit="1" customWidth="1"/>
    <col min="12" max="68" width="8.7109375" style="93"/>
  </cols>
  <sheetData>
    <row r="1" spans="4:11" s="93" customFormat="1" x14ac:dyDescent="0.25"/>
    <row r="2" spans="4:11" ht="39.75" customHeight="1" x14ac:dyDescent="0.25">
      <c r="D2" s="460" t="s">
        <v>255</v>
      </c>
      <c r="E2" s="460"/>
      <c r="F2" s="460"/>
      <c r="G2" s="460"/>
      <c r="H2" s="460"/>
      <c r="I2" s="460"/>
      <c r="J2" s="460"/>
      <c r="K2" s="460"/>
    </row>
    <row r="3" spans="4:11" ht="15.75" customHeight="1" x14ac:dyDescent="0.25">
      <c r="D3" s="461" t="s">
        <v>256</v>
      </c>
      <c r="E3" s="461"/>
      <c r="F3" s="461"/>
      <c r="G3" s="461"/>
      <c r="H3" s="461"/>
      <c r="I3" s="461"/>
      <c r="J3" s="461"/>
      <c r="K3" s="461"/>
    </row>
    <row r="4" spans="4:11" ht="30.75" customHeight="1" x14ac:dyDescent="0.25">
      <c r="D4" s="471" t="s">
        <v>348</v>
      </c>
      <c r="E4" s="472"/>
      <c r="F4" s="472"/>
      <c r="G4" s="473"/>
      <c r="H4" s="474">
        <v>0.4</v>
      </c>
      <c r="I4" s="475"/>
      <c r="J4" s="475"/>
      <c r="K4" s="476"/>
    </row>
    <row r="5" spans="4:11" ht="30" customHeight="1" x14ac:dyDescent="0.25">
      <c r="D5" s="483" t="s">
        <v>429</v>
      </c>
      <c r="E5" s="472"/>
      <c r="F5" s="472"/>
      <c r="G5" s="473"/>
      <c r="H5" s="484">
        <f>'📦 Gastos Importación'!E28*H4</f>
        <v>7435.5080000000007</v>
      </c>
      <c r="I5" s="485"/>
      <c r="J5" s="485"/>
      <c r="K5" s="486"/>
    </row>
    <row r="6" spans="4:11" ht="25.5" customHeight="1" x14ac:dyDescent="0.25">
      <c r="D6" s="480" t="s">
        <v>428</v>
      </c>
      <c r="E6" s="481"/>
      <c r="F6" s="481"/>
      <c r="G6" s="482"/>
      <c r="H6" s="477">
        <f>('📦 Gastos Importación'!E28+H5)/'🧾 Factura Comercial'!I35</f>
        <v>1.8309214451348554</v>
      </c>
      <c r="I6" s="478"/>
      <c r="J6" s="478"/>
      <c r="K6" s="479"/>
    </row>
    <row r="7" spans="4:11" ht="34.5" customHeight="1" thickBot="1" x14ac:dyDescent="0.3">
      <c r="D7" s="109" t="s">
        <v>133</v>
      </c>
      <c r="E7" s="109" t="s">
        <v>251</v>
      </c>
      <c r="F7" s="109" t="s">
        <v>254</v>
      </c>
      <c r="G7" s="109" t="s">
        <v>257</v>
      </c>
      <c r="H7" s="109" t="s">
        <v>258</v>
      </c>
      <c r="I7" s="109" t="s">
        <v>259</v>
      </c>
      <c r="J7" s="109" t="s">
        <v>260</v>
      </c>
      <c r="K7" s="109" t="s">
        <v>261</v>
      </c>
    </row>
    <row r="8" spans="4:11" ht="19.5" customHeight="1" thickBot="1" x14ac:dyDescent="0.3">
      <c r="D8" s="108">
        <v>1</v>
      </c>
      <c r="E8" s="259" t="str">
        <f>'🧾 Factura Comercial'!E5</f>
        <v>Case Transparente TPU iPhone 15</v>
      </c>
      <c r="F8" s="269">
        <f>'🧮 Costos x Producto'!K7</f>
        <v>5.8866740063150083</v>
      </c>
      <c r="G8" s="369">
        <f>$H$4</f>
        <v>0.4</v>
      </c>
      <c r="H8" s="270">
        <f>IF(F8=0,0,F8/(1-G8))</f>
        <v>9.8111233438583483</v>
      </c>
      <c r="I8" s="110">
        <f>IF(H8=0,0,H8*(1+'📋 Datos Generales'!$E$28))</f>
        <v>11.57712554575285</v>
      </c>
      <c r="J8" s="271">
        <f>IF(H8=0,0,H8-F8)</f>
        <v>3.92444933754334</v>
      </c>
      <c r="K8" s="272">
        <f>IF(OR(I8=0,'🧾 Factura Comercial'!G5=0),0,CEILING('🧮 Costos x Producto'!J7*'🧾 Factura Comercial'!G5/I8,1))</f>
        <v>66</v>
      </c>
    </row>
    <row r="9" spans="4:11" ht="19.5" customHeight="1" thickBot="1" x14ac:dyDescent="0.3">
      <c r="D9" s="28">
        <v>2</v>
      </c>
      <c r="E9" s="265" t="str">
        <f>'🧾 Factura Comercial'!E6</f>
        <v>Cable USB-C Trenzado 1m</v>
      </c>
      <c r="F9" s="273">
        <f>'🧮 Costos x Producto'!K8</f>
        <v>3.3082134911522361</v>
      </c>
      <c r="G9" s="370">
        <f>$H$4</f>
        <v>0.4</v>
      </c>
      <c r="H9" s="270">
        <f>IF(F9=0,0,F9/(1-G9))</f>
        <v>5.5136891519203939</v>
      </c>
      <c r="I9" s="110">
        <f>IF(H9=0,0,H9*(1+'📋 Datos Generales'!$E$28))</f>
        <v>6.5061531992660644</v>
      </c>
      <c r="J9" s="271">
        <f t="shared" ref="J9:J37" si="0">IF(H9=0,0,H9-F9)</f>
        <v>2.2054756607681578</v>
      </c>
      <c r="K9" s="272">
        <f>IF(OR(I9=0,'🧾 Factura Comercial'!G6=0),0,CEILING('🧮 Costos x Producto'!J8*'🧾 Factura Comercial'!G6/I9,1))</f>
        <v>394</v>
      </c>
    </row>
    <row r="10" spans="4:11" ht="19.5" customHeight="1" thickBot="1" x14ac:dyDescent="0.3">
      <c r="D10" s="28">
        <v>3</v>
      </c>
      <c r="E10" s="265" t="str">
        <f>'🧾 Factura Comercial'!E7</f>
        <v>Protector Pantalla Vidrio Templado</v>
      </c>
      <c r="F10" s="273">
        <f>'🧮 Costos x Producto'!K9</f>
        <v>1.9460079359719038</v>
      </c>
      <c r="G10" s="370">
        <v>0.4</v>
      </c>
      <c r="H10" s="270">
        <f t="shared" ref="H10:H37" si="1">IF(F10=0,0,F10/(1-G10))</f>
        <v>3.243346559953173</v>
      </c>
      <c r="I10" s="110">
        <f>IF(H10=0,0,H10*(1+'📋 Datos Generales'!$E$28))</f>
        <v>3.8271489407447441</v>
      </c>
      <c r="J10" s="271">
        <f t="shared" si="0"/>
        <v>1.2973386239812692</v>
      </c>
      <c r="K10" s="272">
        <f>IF(OR(I10=0,'🧾 Factura Comercial'!G7=0),0,CEILING('🧮 Costos x Producto'!J9*'🧾 Factura Comercial'!G7/I10,1))</f>
        <v>394</v>
      </c>
    </row>
    <row r="11" spans="4:11" ht="19.5" customHeight="1" thickBot="1" x14ac:dyDescent="0.3">
      <c r="D11" s="28">
        <v>4</v>
      </c>
      <c r="E11" s="265" t="str">
        <f>'🧾 Factura Comercial'!E8</f>
        <v>Audífonos In-Ear con Micrófono</v>
      </c>
      <c r="F11" s="273">
        <f>'🧮 Costos x Producto'!K10</f>
        <v>1.654106745576118</v>
      </c>
      <c r="G11" s="370">
        <f t="shared" ref="G11:G37" si="2">$H$4</f>
        <v>0.4</v>
      </c>
      <c r="H11" s="270">
        <f t="shared" si="1"/>
        <v>2.7568445759601969</v>
      </c>
      <c r="I11" s="110">
        <f>IF(H11=0,0,H11*(1+'📋 Datos Generales'!$E$28))</f>
        <v>3.2530765996330322</v>
      </c>
      <c r="J11" s="271">
        <f t="shared" si="0"/>
        <v>1.1027378303840789</v>
      </c>
      <c r="K11" s="272">
        <f>IF(OR(I11=0,'🧾 Factura Comercial'!G8=0),0,CEILING('🧮 Costos x Producto'!J10*'🧾 Factura Comercial'!G8/I11,1))</f>
        <v>1398</v>
      </c>
    </row>
    <row r="12" spans="4:11" ht="19.5" customHeight="1" thickBot="1" x14ac:dyDescent="0.3">
      <c r="D12" s="28">
        <v>5</v>
      </c>
      <c r="E12" s="265" t="str">
        <f>'🧾 Factura Comercial'!E9</f>
        <v>Cable Micro USB 2m Nylon</v>
      </c>
      <c r="F12" s="273">
        <f>'🧮 Costos x Producto'!K11</f>
        <v>1.2649051583817372</v>
      </c>
      <c r="G12" s="370">
        <f t="shared" si="2"/>
        <v>0.4</v>
      </c>
      <c r="H12" s="270">
        <f t="shared" si="1"/>
        <v>2.1081752639695623</v>
      </c>
      <c r="I12" s="110">
        <f>IF(H12=0,0,H12*(1+'📋 Datos Generales'!$E$28))</f>
        <v>2.4876468114840833</v>
      </c>
      <c r="J12" s="271">
        <f t="shared" si="0"/>
        <v>0.84327010558782511</v>
      </c>
      <c r="K12" s="272">
        <f>IF(OR(I12=0,'🧾 Factura Comercial'!G9=0),0,CEILING('🧮 Costos x Producto'!J11*'🧾 Factura Comercial'!G9/I12,1))</f>
        <v>1181</v>
      </c>
    </row>
    <row r="13" spans="4:11" ht="19.5" customHeight="1" thickBot="1" x14ac:dyDescent="0.3">
      <c r="D13" s="28">
        <v>6</v>
      </c>
      <c r="E13" s="265" t="str">
        <f>'🧾 Factura Comercial'!E10</f>
        <v>Soporte Anillo Pop Socket Metálico</v>
      </c>
      <c r="F13" s="273">
        <f>'🧮 Costos x Producto'!K12</f>
        <v>1.41085575357963</v>
      </c>
      <c r="G13" s="370">
        <f t="shared" si="2"/>
        <v>0.4</v>
      </c>
      <c r="H13" s="270">
        <f t="shared" si="1"/>
        <v>2.3514262559660501</v>
      </c>
      <c r="I13" s="110">
        <f>IF(H13=0,0,H13*(1+'📋 Datos Generales'!$E$28))</f>
        <v>2.774682982039939</v>
      </c>
      <c r="J13" s="271">
        <f t="shared" si="0"/>
        <v>0.94057050238642015</v>
      </c>
      <c r="K13" s="272">
        <f>IF(OR(I13=0,'🧾 Factura Comercial'!G10=0),0,CEILING('🧮 Costos x Producto'!J12*'🧾 Factura Comercial'!G10/I13,1))</f>
        <v>296</v>
      </c>
    </row>
    <row r="14" spans="4:11" ht="19.5" customHeight="1" thickBot="1" x14ac:dyDescent="0.3">
      <c r="D14" s="28">
        <v>7</v>
      </c>
      <c r="E14" s="265" t="str">
        <f>'🧾 Factura Comercial'!E11</f>
        <v>Cargador Inalámbrico 15W Qi</v>
      </c>
      <c r="F14" s="273">
        <f>'🧮 Costos x Producto'!K13</f>
        <v>27.779263285998923</v>
      </c>
      <c r="G14" s="370">
        <f t="shared" si="2"/>
        <v>0.4</v>
      </c>
      <c r="H14" s="270">
        <f t="shared" si="1"/>
        <v>46.29877214333154</v>
      </c>
      <c r="I14" s="110">
        <f>IF(H14=0,0,H14*(1+'📋 Datos Generales'!$E$28))</f>
        <v>54.632551129131215</v>
      </c>
      <c r="J14" s="271">
        <f t="shared" si="0"/>
        <v>18.519508857332617</v>
      </c>
      <c r="K14" s="272">
        <f>IF(OR(I14=0,'🧾 Factura Comercial'!G11=0),0,CEILING('🧮 Costos x Producto'!J13*'🧾 Factura Comercial'!G11/I14,1))</f>
        <v>33</v>
      </c>
    </row>
    <row r="15" spans="4:11" ht="19.5" customHeight="1" thickBot="1" x14ac:dyDescent="0.3">
      <c r="D15" s="28">
        <v>8</v>
      </c>
      <c r="E15" s="265" t="str">
        <f>'🧾 Factura Comercial'!E12</f>
        <v>Case Wallet Cuero PU Samsung S24</v>
      </c>
      <c r="F15" s="273">
        <f>'🧮 Costos x Producto'!K14</f>
        <v>3.6974150783466171</v>
      </c>
      <c r="G15" s="370">
        <f t="shared" si="2"/>
        <v>0.4</v>
      </c>
      <c r="H15" s="270">
        <f t="shared" si="1"/>
        <v>6.1623584639110289</v>
      </c>
      <c r="I15" s="110">
        <f>IF(H15=0,0,H15*(1+'📋 Datos Generales'!$E$28))</f>
        <v>7.2715829874150142</v>
      </c>
      <c r="J15" s="271">
        <f t="shared" si="0"/>
        <v>2.4649433855644118</v>
      </c>
      <c r="K15" s="272">
        <f>IF(OR(I15=0,'🧾 Factura Comercial'!G12=0),0,CEILING('🧮 Costos x Producto'!J14*'🧾 Factura Comercial'!G12/I15,1))</f>
        <v>263</v>
      </c>
    </row>
    <row r="16" spans="4:11" ht="19.5" customHeight="1" thickBot="1" x14ac:dyDescent="0.3">
      <c r="D16" s="28">
        <v>9</v>
      </c>
      <c r="E16" s="265" t="str">
        <f>'🧾 Factura Comercial'!E13</f>
        <v>Adaptador USB-C a Jack 3.5mm</v>
      </c>
      <c r="F16" s="273">
        <f>'🧮 Costos x Producto'!K15</f>
        <v>1.3622055551803325</v>
      </c>
      <c r="G16" s="370">
        <f t="shared" si="2"/>
        <v>0.4</v>
      </c>
      <c r="H16" s="270">
        <f t="shared" si="1"/>
        <v>2.2703425919672209</v>
      </c>
      <c r="I16" s="110">
        <f>IF(H16=0,0,H16*(1+'📋 Datos Generales'!$E$28))</f>
        <v>2.6790042585213203</v>
      </c>
      <c r="J16" s="271">
        <f t="shared" si="0"/>
        <v>0.9081370367868884</v>
      </c>
      <c r="K16" s="272">
        <f>IF(OR(I16=0,'🧾 Factura Comercial'!G13=0),0,CEILING('🧮 Costos x Producto'!J15*'🧾 Factura Comercial'!G13/I16,1))</f>
        <v>657</v>
      </c>
    </row>
    <row r="17" spans="4:11" ht="19.5" customHeight="1" thickBot="1" x14ac:dyDescent="0.3">
      <c r="D17" s="28">
        <v>10</v>
      </c>
      <c r="E17" s="265">
        <f>'🧾 Factura Comercial'!E14</f>
        <v>0</v>
      </c>
      <c r="F17" s="273">
        <f>'🧮 Costos x Producto'!K16</f>
        <v>0</v>
      </c>
      <c r="G17" s="370">
        <f t="shared" si="2"/>
        <v>0.4</v>
      </c>
      <c r="H17" s="270">
        <f t="shared" si="1"/>
        <v>0</v>
      </c>
      <c r="I17" s="110">
        <f>IF(H17=0,0,H17*(1+'📋 Datos Generales'!$E$28))</f>
        <v>0</v>
      </c>
      <c r="J17" s="271">
        <f t="shared" si="0"/>
        <v>0</v>
      </c>
      <c r="K17" s="272">
        <f>IF(OR(I17=0,'🧾 Factura Comercial'!G14=0),0,CEILING('🧮 Costos x Producto'!J16*'🧾 Factura Comercial'!G14/I17,1))</f>
        <v>0</v>
      </c>
    </row>
    <row r="18" spans="4:11" ht="19.5" customHeight="1" thickBot="1" x14ac:dyDescent="0.3">
      <c r="D18" s="28">
        <v>11</v>
      </c>
      <c r="E18" s="265">
        <f>'🧾 Factura Comercial'!E15</f>
        <v>0</v>
      </c>
      <c r="F18" s="273">
        <f>'🧮 Costos x Producto'!K17</f>
        <v>0</v>
      </c>
      <c r="G18" s="370">
        <f t="shared" si="2"/>
        <v>0.4</v>
      </c>
      <c r="H18" s="270">
        <f t="shared" si="1"/>
        <v>0</v>
      </c>
      <c r="I18" s="110">
        <f>IF(H18=0,0,H18*(1+'📋 Datos Generales'!$E$28))</f>
        <v>0</v>
      </c>
      <c r="J18" s="271">
        <f t="shared" si="0"/>
        <v>0</v>
      </c>
      <c r="K18" s="272">
        <f>IF(OR(I18=0,'🧾 Factura Comercial'!G15=0),0,CEILING('🧮 Costos x Producto'!J17*'🧾 Factura Comercial'!G15/I18,1))</f>
        <v>0</v>
      </c>
    </row>
    <row r="19" spans="4:11" ht="19.5" customHeight="1" thickBot="1" x14ac:dyDescent="0.3">
      <c r="D19" s="28">
        <v>12</v>
      </c>
      <c r="E19" s="265">
        <f>'🧾 Factura Comercial'!E16</f>
        <v>0</v>
      </c>
      <c r="F19" s="273">
        <f>'🧮 Costos x Producto'!K18</f>
        <v>0</v>
      </c>
      <c r="G19" s="370">
        <f t="shared" si="2"/>
        <v>0.4</v>
      </c>
      <c r="H19" s="270">
        <f t="shared" si="1"/>
        <v>0</v>
      </c>
      <c r="I19" s="110">
        <f>IF(H19=0,0,H19*(1+'📋 Datos Generales'!$E$28))</f>
        <v>0</v>
      </c>
      <c r="J19" s="271">
        <f t="shared" si="0"/>
        <v>0</v>
      </c>
      <c r="K19" s="272">
        <f>IF(OR(I19=0,'🧾 Factura Comercial'!G16=0),0,CEILING('🧮 Costos x Producto'!J18*'🧾 Factura Comercial'!G16/I19,1))</f>
        <v>0</v>
      </c>
    </row>
    <row r="20" spans="4:11" ht="19.5" customHeight="1" thickBot="1" x14ac:dyDescent="0.3">
      <c r="D20" s="28">
        <v>13</v>
      </c>
      <c r="E20" s="265">
        <f>'🧾 Factura Comercial'!E17</f>
        <v>0</v>
      </c>
      <c r="F20" s="273">
        <f>'🧮 Costos x Producto'!K19</f>
        <v>0</v>
      </c>
      <c r="G20" s="370">
        <f t="shared" si="2"/>
        <v>0.4</v>
      </c>
      <c r="H20" s="270">
        <f t="shared" si="1"/>
        <v>0</v>
      </c>
      <c r="I20" s="110">
        <f>IF(H20=0,0,H20*(1+'📋 Datos Generales'!$E$28))</f>
        <v>0</v>
      </c>
      <c r="J20" s="271">
        <f t="shared" si="0"/>
        <v>0</v>
      </c>
      <c r="K20" s="272">
        <f>IF(OR(I20=0,'🧾 Factura Comercial'!G17=0),0,CEILING('🧮 Costos x Producto'!J19*'🧾 Factura Comercial'!G17/I20,1))</f>
        <v>0</v>
      </c>
    </row>
    <row r="21" spans="4:11" ht="19.5" customHeight="1" thickBot="1" x14ac:dyDescent="0.3">
      <c r="D21" s="28">
        <v>14</v>
      </c>
      <c r="E21" s="265">
        <f>'🧾 Factura Comercial'!E18</f>
        <v>0</v>
      </c>
      <c r="F21" s="273">
        <f>'🧮 Costos x Producto'!K20</f>
        <v>0</v>
      </c>
      <c r="G21" s="370">
        <f t="shared" si="2"/>
        <v>0.4</v>
      </c>
      <c r="H21" s="270">
        <f t="shared" si="1"/>
        <v>0</v>
      </c>
      <c r="I21" s="110">
        <f>IF(H21=0,0,H21*(1+'📋 Datos Generales'!$E$28))</f>
        <v>0</v>
      </c>
      <c r="J21" s="271">
        <f t="shared" si="0"/>
        <v>0</v>
      </c>
      <c r="K21" s="272">
        <f>IF(OR(I21=0,'🧾 Factura Comercial'!G18=0),0,CEILING('🧮 Costos x Producto'!J20*'🧾 Factura Comercial'!G18/I21,1))</f>
        <v>0</v>
      </c>
    </row>
    <row r="22" spans="4:11" ht="19.5" customHeight="1" thickBot="1" x14ac:dyDescent="0.3">
      <c r="D22" s="28">
        <v>15</v>
      </c>
      <c r="E22" s="265">
        <f>'🧾 Factura Comercial'!E19</f>
        <v>0</v>
      </c>
      <c r="F22" s="273">
        <f>'🧮 Costos x Producto'!K21</f>
        <v>0</v>
      </c>
      <c r="G22" s="370">
        <f t="shared" si="2"/>
        <v>0.4</v>
      </c>
      <c r="H22" s="270">
        <f t="shared" si="1"/>
        <v>0</v>
      </c>
      <c r="I22" s="110">
        <f>IF(H22=0,0,H22*(1+'📋 Datos Generales'!$E$28))</f>
        <v>0</v>
      </c>
      <c r="J22" s="271">
        <f t="shared" si="0"/>
        <v>0</v>
      </c>
      <c r="K22" s="272">
        <f>IF(OR(I22=0,'🧾 Factura Comercial'!G19=0),0,CEILING('🧮 Costos x Producto'!J21*'🧾 Factura Comercial'!G19/I22,1))</f>
        <v>0</v>
      </c>
    </row>
    <row r="23" spans="4:11" ht="19.5" customHeight="1" thickBot="1" x14ac:dyDescent="0.3">
      <c r="D23" s="28">
        <v>16</v>
      </c>
      <c r="E23" s="265">
        <f>'🧾 Factura Comercial'!E20</f>
        <v>0</v>
      </c>
      <c r="F23" s="273">
        <f>'🧮 Costos x Producto'!K22</f>
        <v>0</v>
      </c>
      <c r="G23" s="370">
        <f t="shared" si="2"/>
        <v>0.4</v>
      </c>
      <c r="H23" s="270">
        <f t="shared" si="1"/>
        <v>0</v>
      </c>
      <c r="I23" s="110">
        <f>IF(H23=0,0,H23*(1+'📋 Datos Generales'!$E$28))</f>
        <v>0</v>
      </c>
      <c r="J23" s="271">
        <f t="shared" si="0"/>
        <v>0</v>
      </c>
      <c r="K23" s="272">
        <f>IF(OR(I23=0,'🧾 Factura Comercial'!G20=0),0,CEILING('🧮 Costos x Producto'!J22*'🧾 Factura Comercial'!G20/I23,1))</f>
        <v>0</v>
      </c>
    </row>
    <row r="24" spans="4:11" ht="19.5" customHeight="1" thickBot="1" x14ac:dyDescent="0.3">
      <c r="D24" s="28">
        <v>17</v>
      </c>
      <c r="E24" s="265">
        <f>'🧾 Factura Comercial'!E21</f>
        <v>0</v>
      </c>
      <c r="F24" s="273">
        <f>'🧮 Costos x Producto'!K23</f>
        <v>0</v>
      </c>
      <c r="G24" s="370">
        <f t="shared" si="2"/>
        <v>0.4</v>
      </c>
      <c r="H24" s="270">
        <f t="shared" si="1"/>
        <v>0</v>
      </c>
      <c r="I24" s="110">
        <f>IF(H24=0,0,H24*(1+'📋 Datos Generales'!$E$28))</f>
        <v>0</v>
      </c>
      <c r="J24" s="271">
        <f t="shared" si="0"/>
        <v>0</v>
      </c>
      <c r="K24" s="272">
        <f>IF(OR(I24=0,'🧾 Factura Comercial'!G21=0),0,CEILING('🧮 Costos x Producto'!J23*'🧾 Factura Comercial'!G21/I24,1))</f>
        <v>0</v>
      </c>
    </row>
    <row r="25" spans="4:11" ht="19.5" customHeight="1" thickBot="1" x14ac:dyDescent="0.3">
      <c r="D25" s="28">
        <v>18</v>
      </c>
      <c r="E25" s="265">
        <f>'🧾 Factura Comercial'!E22</f>
        <v>0</v>
      </c>
      <c r="F25" s="273">
        <f>'🧮 Costos x Producto'!K24</f>
        <v>0</v>
      </c>
      <c r="G25" s="370">
        <f t="shared" si="2"/>
        <v>0.4</v>
      </c>
      <c r="H25" s="270">
        <f t="shared" si="1"/>
        <v>0</v>
      </c>
      <c r="I25" s="110">
        <f>IF(H25=0,0,H25*(1+'📋 Datos Generales'!$E$28))</f>
        <v>0</v>
      </c>
      <c r="J25" s="271">
        <f t="shared" si="0"/>
        <v>0</v>
      </c>
      <c r="K25" s="272">
        <f>IF(OR(I25=0,'🧾 Factura Comercial'!G22=0),0,CEILING('🧮 Costos x Producto'!J24*'🧾 Factura Comercial'!G22/I25,1))</f>
        <v>0</v>
      </c>
    </row>
    <row r="26" spans="4:11" ht="19.5" customHeight="1" thickBot="1" x14ac:dyDescent="0.3">
      <c r="D26" s="28">
        <v>19</v>
      </c>
      <c r="E26" s="265">
        <f>'🧾 Factura Comercial'!E23</f>
        <v>0</v>
      </c>
      <c r="F26" s="273">
        <f>'🧮 Costos x Producto'!K25</f>
        <v>0</v>
      </c>
      <c r="G26" s="370">
        <f t="shared" si="2"/>
        <v>0.4</v>
      </c>
      <c r="H26" s="270">
        <f t="shared" si="1"/>
        <v>0</v>
      </c>
      <c r="I26" s="110">
        <f>IF(H26=0,0,H26*(1+'📋 Datos Generales'!$E$28))</f>
        <v>0</v>
      </c>
      <c r="J26" s="271">
        <f t="shared" si="0"/>
        <v>0</v>
      </c>
      <c r="K26" s="272">
        <f>IF(OR(I26=0,'🧾 Factura Comercial'!G23=0),0,CEILING('🧮 Costos x Producto'!J25*'🧾 Factura Comercial'!G23/I26,1))</f>
        <v>0</v>
      </c>
    </row>
    <row r="27" spans="4:11" ht="19.5" customHeight="1" thickBot="1" x14ac:dyDescent="0.3">
      <c r="D27" s="28">
        <v>20</v>
      </c>
      <c r="E27" s="265">
        <f>'🧾 Factura Comercial'!E24</f>
        <v>0</v>
      </c>
      <c r="F27" s="273">
        <f>'🧮 Costos x Producto'!K26</f>
        <v>0</v>
      </c>
      <c r="G27" s="370">
        <f t="shared" si="2"/>
        <v>0.4</v>
      </c>
      <c r="H27" s="270">
        <f t="shared" si="1"/>
        <v>0</v>
      </c>
      <c r="I27" s="110">
        <f>IF(H27=0,0,H27*(1+'📋 Datos Generales'!$E$28))</f>
        <v>0</v>
      </c>
      <c r="J27" s="271">
        <f t="shared" si="0"/>
        <v>0</v>
      </c>
      <c r="K27" s="272">
        <f>IF(OR(I27=0,'🧾 Factura Comercial'!G24=0),0,CEILING('🧮 Costos x Producto'!J26*'🧾 Factura Comercial'!G24/I27,1))</f>
        <v>0</v>
      </c>
    </row>
    <row r="28" spans="4:11" ht="19.5" customHeight="1" thickBot="1" x14ac:dyDescent="0.3">
      <c r="D28" s="28">
        <v>21</v>
      </c>
      <c r="E28" s="265">
        <f>'🧾 Factura Comercial'!E25</f>
        <v>0</v>
      </c>
      <c r="F28" s="273">
        <f>'🧮 Costos x Producto'!K27</f>
        <v>0</v>
      </c>
      <c r="G28" s="370">
        <f t="shared" si="2"/>
        <v>0.4</v>
      </c>
      <c r="H28" s="270">
        <f t="shared" si="1"/>
        <v>0</v>
      </c>
      <c r="I28" s="110">
        <f>IF(H28=0,0,H28*(1+'📋 Datos Generales'!$E$28))</f>
        <v>0</v>
      </c>
      <c r="J28" s="271">
        <f t="shared" si="0"/>
        <v>0</v>
      </c>
      <c r="K28" s="272">
        <f>IF(OR(I28=0,'🧾 Factura Comercial'!G25=0),0,CEILING('🧮 Costos x Producto'!J27*'🧾 Factura Comercial'!G25/I28,1))</f>
        <v>0</v>
      </c>
    </row>
    <row r="29" spans="4:11" ht="19.5" customHeight="1" thickBot="1" x14ac:dyDescent="0.3">
      <c r="D29" s="28">
        <v>22</v>
      </c>
      <c r="E29" s="265">
        <f>'🧾 Factura Comercial'!E26</f>
        <v>0</v>
      </c>
      <c r="F29" s="273">
        <f>'🧮 Costos x Producto'!K28</f>
        <v>0</v>
      </c>
      <c r="G29" s="370">
        <f t="shared" si="2"/>
        <v>0.4</v>
      </c>
      <c r="H29" s="270">
        <f t="shared" si="1"/>
        <v>0</v>
      </c>
      <c r="I29" s="110">
        <f>IF(H29=0,0,H29*(1+'📋 Datos Generales'!$E$28))</f>
        <v>0</v>
      </c>
      <c r="J29" s="271">
        <f t="shared" si="0"/>
        <v>0</v>
      </c>
      <c r="K29" s="272">
        <f>IF(OR(I29=0,'🧾 Factura Comercial'!G26=0),0,CEILING('🧮 Costos x Producto'!J28*'🧾 Factura Comercial'!G26/I29,1))</f>
        <v>0</v>
      </c>
    </row>
    <row r="30" spans="4:11" ht="19.5" customHeight="1" thickBot="1" x14ac:dyDescent="0.3">
      <c r="D30" s="28">
        <v>23</v>
      </c>
      <c r="E30" s="265">
        <f>'🧾 Factura Comercial'!E27</f>
        <v>0</v>
      </c>
      <c r="F30" s="273">
        <f>'🧮 Costos x Producto'!K29</f>
        <v>0</v>
      </c>
      <c r="G30" s="370">
        <f t="shared" si="2"/>
        <v>0.4</v>
      </c>
      <c r="H30" s="270">
        <f t="shared" si="1"/>
        <v>0</v>
      </c>
      <c r="I30" s="110">
        <f>IF(H30=0,0,H30*(1+'📋 Datos Generales'!$E$28))</f>
        <v>0</v>
      </c>
      <c r="J30" s="271">
        <f t="shared" si="0"/>
        <v>0</v>
      </c>
      <c r="K30" s="272">
        <f>IF(OR(I30=0,'🧾 Factura Comercial'!G27=0),0,CEILING('🧮 Costos x Producto'!J29*'🧾 Factura Comercial'!G27/I30,1))</f>
        <v>0</v>
      </c>
    </row>
    <row r="31" spans="4:11" ht="19.5" customHeight="1" thickBot="1" x14ac:dyDescent="0.3">
      <c r="D31" s="28">
        <v>24</v>
      </c>
      <c r="E31" s="265">
        <f>'🧾 Factura Comercial'!E28</f>
        <v>0</v>
      </c>
      <c r="F31" s="273">
        <f>'🧮 Costos x Producto'!K30</f>
        <v>0</v>
      </c>
      <c r="G31" s="370">
        <f t="shared" si="2"/>
        <v>0.4</v>
      </c>
      <c r="H31" s="270">
        <f t="shared" si="1"/>
        <v>0</v>
      </c>
      <c r="I31" s="110">
        <f>IF(H31=0,0,H31*(1+'📋 Datos Generales'!$E$28))</f>
        <v>0</v>
      </c>
      <c r="J31" s="271">
        <f t="shared" si="0"/>
        <v>0</v>
      </c>
      <c r="K31" s="272">
        <f>IF(OR(I31=0,'🧾 Factura Comercial'!G28=0),0,CEILING('🧮 Costos x Producto'!J30*'🧾 Factura Comercial'!G28/I31,1))</f>
        <v>0</v>
      </c>
    </row>
    <row r="32" spans="4:11" ht="19.5" customHeight="1" thickBot="1" x14ac:dyDescent="0.3">
      <c r="D32" s="28">
        <v>25</v>
      </c>
      <c r="E32" s="265">
        <f>'🧾 Factura Comercial'!E29</f>
        <v>0</v>
      </c>
      <c r="F32" s="273">
        <f>'🧮 Costos x Producto'!K31</f>
        <v>0</v>
      </c>
      <c r="G32" s="370">
        <f t="shared" si="2"/>
        <v>0.4</v>
      </c>
      <c r="H32" s="270">
        <f t="shared" si="1"/>
        <v>0</v>
      </c>
      <c r="I32" s="110">
        <f>IF(H32=0,0,H32*(1+'📋 Datos Generales'!$E$28))</f>
        <v>0</v>
      </c>
      <c r="J32" s="271">
        <f t="shared" si="0"/>
        <v>0</v>
      </c>
      <c r="K32" s="272">
        <f>IF(OR(I32=0,'🧾 Factura Comercial'!G29=0),0,CEILING('🧮 Costos x Producto'!J31*'🧾 Factura Comercial'!G29/I32,1))</f>
        <v>0</v>
      </c>
    </row>
    <row r="33" spans="4:11" ht="19.5" customHeight="1" thickBot="1" x14ac:dyDescent="0.3">
      <c r="D33" s="28">
        <v>26</v>
      </c>
      <c r="E33" s="265">
        <f>'🧾 Factura Comercial'!E30</f>
        <v>0</v>
      </c>
      <c r="F33" s="273">
        <f>'🧮 Costos x Producto'!K32</f>
        <v>0</v>
      </c>
      <c r="G33" s="370">
        <f t="shared" si="2"/>
        <v>0.4</v>
      </c>
      <c r="H33" s="270">
        <f t="shared" si="1"/>
        <v>0</v>
      </c>
      <c r="I33" s="110">
        <f>IF(H33=0,0,H33*(1+'📋 Datos Generales'!$E$28))</f>
        <v>0</v>
      </c>
      <c r="J33" s="271">
        <f t="shared" si="0"/>
        <v>0</v>
      </c>
      <c r="K33" s="272">
        <f>IF(OR(I33=0,'🧾 Factura Comercial'!G30=0),0,CEILING('🧮 Costos x Producto'!J32*'🧾 Factura Comercial'!G30/I33,1))</f>
        <v>0</v>
      </c>
    </row>
    <row r="34" spans="4:11" ht="19.5" customHeight="1" thickBot="1" x14ac:dyDescent="0.3">
      <c r="D34" s="28">
        <v>27</v>
      </c>
      <c r="E34" s="265">
        <f>'🧾 Factura Comercial'!E31</f>
        <v>0</v>
      </c>
      <c r="F34" s="273">
        <f>'🧮 Costos x Producto'!K33</f>
        <v>0</v>
      </c>
      <c r="G34" s="370">
        <f t="shared" si="2"/>
        <v>0.4</v>
      </c>
      <c r="H34" s="270">
        <f t="shared" si="1"/>
        <v>0</v>
      </c>
      <c r="I34" s="110">
        <f>IF(H34=0,0,H34*(1+'📋 Datos Generales'!$E$28))</f>
        <v>0</v>
      </c>
      <c r="J34" s="271">
        <f t="shared" si="0"/>
        <v>0</v>
      </c>
      <c r="K34" s="272">
        <f>IF(OR(I34=0,'🧾 Factura Comercial'!G31=0),0,CEILING('🧮 Costos x Producto'!J33*'🧾 Factura Comercial'!G31/I34,1))</f>
        <v>0</v>
      </c>
    </row>
    <row r="35" spans="4:11" ht="19.5" customHeight="1" thickBot="1" x14ac:dyDescent="0.3">
      <c r="D35" s="28">
        <v>28</v>
      </c>
      <c r="E35" s="265">
        <f>'🧾 Factura Comercial'!E32</f>
        <v>0</v>
      </c>
      <c r="F35" s="273">
        <f>'🧮 Costos x Producto'!K34</f>
        <v>0</v>
      </c>
      <c r="G35" s="370">
        <f t="shared" si="2"/>
        <v>0.4</v>
      </c>
      <c r="H35" s="270">
        <f t="shared" si="1"/>
        <v>0</v>
      </c>
      <c r="I35" s="110">
        <f>IF(H35=0,0,H35*(1+'📋 Datos Generales'!$E$28))</f>
        <v>0</v>
      </c>
      <c r="J35" s="271">
        <f t="shared" si="0"/>
        <v>0</v>
      </c>
      <c r="K35" s="272">
        <f>IF(OR(I35=0,'🧾 Factura Comercial'!G32=0),0,CEILING('🧮 Costos x Producto'!J34*'🧾 Factura Comercial'!G32/I35,1))</f>
        <v>0</v>
      </c>
    </row>
    <row r="36" spans="4:11" ht="19.5" customHeight="1" thickBot="1" x14ac:dyDescent="0.3">
      <c r="D36" s="28">
        <v>29</v>
      </c>
      <c r="E36" s="265">
        <f>'🧾 Factura Comercial'!E33</f>
        <v>0</v>
      </c>
      <c r="F36" s="273">
        <f>'🧮 Costos x Producto'!K35</f>
        <v>0</v>
      </c>
      <c r="G36" s="370">
        <f t="shared" si="2"/>
        <v>0.4</v>
      </c>
      <c r="H36" s="270">
        <f t="shared" si="1"/>
        <v>0</v>
      </c>
      <c r="I36" s="110">
        <f>IF(H36=0,0,H36*(1+'📋 Datos Generales'!$E$28))</f>
        <v>0</v>
      </c>
      <c r="J36" s="271">
        <f t="shared" si="0"/>
        <v>0</v>
      </c>
      <c r="K36" s="272">
        <f>IF(OR(I36=0,'🧾 Factura Comercial'!G33=0),0,CEILING('🧮 Costos x Producto'!J35*'🧾 Factura Comercial'!G33/I36,1))</f>
        <v>0</v>
      </c>
    </row>
    <row r="37" spans="4:11" ht="19.5" customHeight="1" thickBot="1" x14ac:dyDescent="0.3">
      <c r="D37" s="28">
        <v>30</v>
      </c>
      <c r="E37" s="265">
        <f>'🧾 Factura Comercial'!E34</f>
        <v>0</v>
      </c>
      <c r="F37" s="273">
        <f>'🧮 Costos x Producto'!K36</f>
        <v>0</v>
      </c>
      <c r="G37" s="370">
        <f t="shared" si="2"/>
        <v>0.4</v>
      </c>
      <c r="H37" s="270">
        <f t="shared" si="1"/>
        <v>0</v>
      </c>
      <c r="I37" s="110">
        <f>IF(H37=0,0,H37*(1+'📋 Datos Generales'!$E$28))</f>
        <v>0</v>
      </c>
      <c r="J37" s="271">
        <f t="shared" si="0"/>
        <v>0</v>
      </c>
      <c r="K37" s="272">
        <f>IF(OR(I37=0,'🧾 Factura Comercial'!G34=0),0,CEILING('🧮 Costos x Producto'!J36*'🧾 Factura Comercial'!G34/I37,1))</f>
        <v>0</v>
      </c>
    </row>
    <row r="38" spans="4:11" s="93" customFormat="1" x14ac:dyDescent="0.25"/>
    <row r="39" spans="4:11" s="93" customFormat="1" x14ac:dyDescent="0.25"/>
    <row r="40" spans="4:11" s="93" customFormat="1" x14ac:dyDescent="0.25"/>
    <row r="41" spans="4:11" s="93" customFormat="1" x14ac:dyDescent="0.25"/>
    <row r="42" spans="4:11" s="93" customFormat="1" x14ac:dyDescent="0.25"/>
    <row r="43" spans="4:11" s="93" customFormat="1" x14ac:dyDescent="0.25"/>
    <row r="44" spans="4:11" s="93" customFormat="1" x14ac:dyDescent="0.25"/>
    <row r="45" spans="4:11" s="93" customFormat="1" x14ac:dyDescent="0.25"/>
    <row r="46" spans="4:11" s="93" customFormat="1" x14ac:dyDescent="0.25"/>
    <row r="47" spans="4:11" s="93" customFormat="1" x14ac:dyDescent="0.25"/>
    <row r="48" spans="4:11" s="93" customFormat="1" x14ac:dyDescent="0.25"/>
    <row r="49" s="93" customFormat="1" x14ac:dyDescent="0.25"/>
    <row r="50" s="93" customFormat="1" x14ac:dyDescent="0.25"/>
    <row r="51" s="93" customFormat="1" x14ac:dyDescent="0.25"/>
    <row r="52" s="93" customFormat="1" x14ac:dyDescent="0.25"/>
    <row r="53" s="93" customFormat="1" x14ac:dyDescent="0.25"/>
    <row r="54" s="93" customFormat="1" x14ac:dyDescent="0.25"/>
    <row r="55" s="93" customFormat="1" x14ac:dyDescent="0.25"/>
    <row r="56" s="93" customFormat="1" x14ac:dyDescent="0.25"/>
    <row r="57" s="93" customFormat="1" x14ac:dyDescent="0.25"/>
    <row r="58" s="93" customFormat="1" x14ac:dyDescent="0.25"/>
    <row r="59" s="93" customFormat="1" x14ac:dyDescent="0.25"/>
    <row r="60" s="93" customFormat="1" x14ac:dyDescent="0.25"/>
    <row r="61" s="93" customFormat="1" x14ac:dyDescent="0.25"/>
    <row r="62" s="93" customFormat="1" x14ac:dyDescent="0.25"/>
    <row r="63" s="93" customFormat="1" x14ac:dyDescent="0.25"/>
    <row r="64" s="93" customFormat="1" x14ac:dyDescent="0.25"/>
    <row r="65" s="93" customFormat="1" x14ac:dyDescent="0.25"/>
    <row r="66" s="93" customFormat="1" x14ac:dyDescent="0.25"/>
    <row r="67" s="93" customFormat="1" x14ac:dyDescent="0.25"/>
    <row r="68" s="93" customFormat="1" x14ac:dyDescent="0.25"/>
    <row r="69" s="93" customFormat="1" x14ac:dyDescent="0.25"/>
    <row r="70" s="93" customFormat="1" x14ac:dyDescent="0.25"/>
    <row r="71" s="93" customFormat="1" x14ac:dyDescent="0.25"/>
    <row r="72" s="93" customFormat="1" x14ac:dyDescent="0.25"/>
    <row r="73" s="93" customFormat="1" x14ac:dyDescent="0.25"/>
    <row r="74" s="93" customFormat="1" x14ac:dyDescent="0.25"/>
    <row r="75" s="93" customFormat="1" x14ac:dyDescent="0.25"/>
    <row r="76" s="93" customFormat="1" x14ac:dyDescent="0.25"/>
    <row r="77" s="93" customFormat="1" x14ac:dyDescent="0.25"/>
    <row r="78" s="93" customFormat="1" x14ac:dyDescent="0.25"/>
    <row r="79" s="93" customFormat="1" x14ac:dyDescent="0.25"/>
    <row r="80" s="93" customFormat="1" x14ac:dyDescent="0.25"/>
    <row r="81" s="93" customFormat="1" x14ac:dyDescent="0.25"/>
    <row r="82" s="93" customFormat="1" x14ac:dyDescent="0.25"/>
    <row r="83" s="93" customFormat="1" x14ac:dyDescent="0.25"/>
    <row r="84" s="93" customFormat="1" x14ac:dyDescent="0.25"/>
    <row r="85" s="93" customFormat="1" x14ac:dyDescent="0.25"/>
    <row r="86" s="93" customFormat="1" x14ac:dyDescent="0.25"/>
    <row r="87" s="93" customFormat="1" x14ac:dyDescent="0.25"/>
    <row r="88" s="93" customFormat="1" x14ac:dyDescent="0.25"/>
    <row r="89" s="93" customFormat="1" x14ac:dyDescent="0.25"/>
    <row r="90" s="93" customFormat="1" x14ac:dyDescent="0.25"/>
    <row r="91" s="93" customFormat="1" x14ac:dyDescent="0.25"/>
    <row r="92" s="93" customFormat="1" x14ac:dyDescent="0.25"/>
    <row r="93" s="93" customFormat="1" x14ac:dyDescent="0.25"/>
    <row r="94" s="93" customFormat="1" x14ac:dyDescent="0.25"/>
    <row r="95" s="93" customFormat="1" x14ac:dyDescent="0.25"/>
    <row r="96" s="93" customFormat="1" x14ac:dyDescent="0.25"/>
    <row r="97" s="93" customFormat="1" x14ac:dyDescent="0.25"/>
    <row r="98" s="93" customFormat="1" x14ac:dyDescent="0.25"/>
    <row r="99" s="93" customFormat="1" x14ac:dyDescent="0.25"/>
    <row r="100" s="93" customFormat="1" x14ac:dyDescent="0.25"/>
    <row r="101" s="93" customFormat="1" x14ac:dyDescent="0.25"/>
    <row r="102" s="93" customFormat="1" x14ac:dyDescent="0.25"/>
    <row r="103" s="93" customFormat="1" x14ac:dyDescent="0.25"/>
    <row r="104" s="93" customFormat="1" x14ac:dyDescent="0.25"/>
    <row r="105" s="93" customFormat="1" x14ac:dyDescent="0.25"/>
    <row r="106" s="93" customFormat="1" x14ac:dyDescent="0.25"/>
    <row r="107" s="93" customFormat="1" x14ac:dyDescent="0.25"/>
    <row r="108" s="93" customFormat="1" x14ac:dyDescent="0.25"/>
    <row r="109" s="93" customFormat="1" x14ac:dyDescent="0.25"/>
    <row r="110" s="93" customFormat="1" x14ac:dyDescent="0.25"/>
    <row r="111" s="93" customFormat="1" x14ac:dyDescent="0.25"/>
    <row r="112" s="93" customFormat="1" x14ac:dyDescent="0.25"/>
    <row r="113" s="93" customFormat="1" x14ac:dyDescent="0.25"/>
    <row r="114" s="93" customFormat="1" x14ac:dyDescent="0.25"/>
    <row r="115" s="93" customFormat="1" x14ac:dyDescent="0.25"/>
    <row r="116" s="93" customFormat="1" x14ac:dyDescent="0.25"/>
    <row r="117" s="93" customFormat="1" x14ac:dyDescent="0.25"/>
    <row r="118" s="93" customFormat="1" x14ac:dyDescent="0.25"/>
    <row r="119" s="93" customFormat="1" x14ac:dyDescent="0.25"/>
    <row r="120" s="93" customFormat="1" x14ac:dyDescent="0.25"/>
    <row r="121" s="93" customFormat="1" x14ac:dyDescent="0.25"/>
    <row r="122" s="93" customFormat="1" x14ac:dyDescent="0.25"/>
    <row r="123" s="93" customFormat="1" x14ac:dyDescent="0.25"/>
    <row r="124" s="93" customFormat="1" x14ac:dyDescent="0.25"/>
    <row r="125" s="93" customFormat="1" x14ac:dyDescent="0.25"/>
    <row r="126" s="93" customFormat="1" x14ac:dyDescent="0.25"/>
    <row r="127" s="93" customFormat="1" x14ac:dyDescent="0.25"/>
    <row r="128" s="93" customFormat="1" x14ac:dyDescent="0.25"/>
    <row r="129" s="93" customFormat="1" x14ac:dyDescent="0.25"/>
    <row r="130" s="93" customFormat="1" x14ac:dyDescent="0.25"/>
    <row r="131" s="93" customFormat="1" x14ac:dyDescent="0.25"/>
    <row r="132" s="93" customFormat="1" x14ac:dyDescent="0.25"/>
    <row r="133" s="93" customFormat="1" x14ac:dyDescent="0.25"/>
    <row r="134" s="93" customFormat="1" x14ac:dyDescent="0.25"/>
    <row r="135" s="93" customFormat="1" x14ac:dyDescent="0.25"/>
    <row r="136" s="93" customFormat="1" x14ac:dyDescent="0.25"/>
    <row r="137" s="93" customFormat="1" x14ac:dyDescent="0.25"/>
    <row r="138" s="93" customFormat="1" x14ac:dyDescent="0.25"/>
    <row r="139" s="93" customFormat="1" x14ac:dyDescent="0.25"/>
    <row r="140" s="93" customFormat="1" x14ac:dyDescent="0.25"/>
    <row r="141" s="93" customFormat="1" x14ac:dyDescent="0.25"/>
    <row r="142" s="93" customFormat="1" x14ac:dyDescent="0.25"/>
    <row r="143" s="93" customFormat="1" x14ac:dyDescent="0.25"/>
    <row r="144" s="93" customFormat="1" x14ac:dyDescent="0.25"/>
    <row r="145" s="93" customFormat="1" x14ac:dyDescent="0.25"/>
    <row r="146" s="93" customFormat="1" x14ac:dyDescent="0.25"/>
    <row r="147" s="93" customFormat="1" x14ac:dyDescent="0.25"/>
    <row r="148" s="93" customFormat="1" x14ac:dyDescent="0.25"/>
    <row r="149" s="93" customFormat="1" x14ac:dyDescent="0.25"/>
    <row r="150" s="93" customFormat="1" x14ac:dyDescent="0.25"/>
    <row r="151" s="93" customFormat="1" x14ac:dyDescent="0.25"/>
    <row r="152" s="93" customFormat="1" x14ac:dyDescent="0.25"/>
    <row r="153" s="93" customFormat="1" x14ac:dyDescent="0.25"/>
    <row r="154" s="93" customFormat="1" x14ac:dyDescent="0.25"/>
    <row r="155" s="93" customFormat="1" x14ac:dyDescent="0.25"/>
    <row r="156" s="93" customFormat="1" x14ac:dyDescent="0.25"/>
    <row r="157" s="93" customFormat="1" x14ac:dyDescent="0.25"/>
    <row r="158" s="93" customFormat="1" x14ac:dyDescent="0.25"/>
    <row r="159" s="93" customFormat="1" x14ac:dyDescent="0.25"/>
    <row r="160" s="93" customFormat="1" x14ac:dyDescent="0.25"/>
    <row r="161" s="93" customFormat="1" x14ac:dyDescent="0.25"/>
    <row r="162" s="93" customFormat="1" x14ac:dyDescent="0.25"/>
    <row r="163" s="93" customFormat="1" x14ac:dyDescent="0.25"/>
    <row r="164" s="93" customFormat="1" x14ac:dyDescent="0.25"/>
    <row r="165" s="93" customFormat="1" x14ac:dyDescent="0.25"/>
    <row r="166" s="93" customFormat="1" x14ac:dyDescent="0.25"/>
    <row r="167" s="93" customFormat="1" x14ac:dyDescent="0.25"/>
    <row r="168" s="93" customFormat="1" x14ac:dyDescent="0.25"/>
    <row r="169" s="93" customFormat="1" x14ac:dyDescent="0.25"/>
    <row r="170" s="93" customFormat="1" x14ac:dyDescent="0.25"/>
    <row r="171" s="93" customFormat="1" x14ac:dyDescent="0.25"/>
    <row r="172" s="93" customFormat="1" x14ac:dyDescent="0.25"/>
    <row r="173" s="93" customFormat="1" x14ac:dyDescent="0.25"/>
    <row r="174" s="93" customFormat="1" x14ac:dyDescent="0.25"/>
    <row r="175" s="93" customFormat="1" x14ac:dyDescent="0.25"/>
    <row r="176" s="93" customFormat="1" x14ac:dyDescent="0.25"/>
    <row r="177" s="93" customFormat="1" x14ac:dyDescent="0.25"/>
    <row r="178" s="93" customFormat="1" x14ac:dyDescent="0.25"/>
    <row r="179" s="93" customFormat="1" x14ac:dyDescent="0.25"/>
    <row r="180" s="93" customFormat="1" x14ac:dyDescent="0.25"/>
    <row r="181" s="93" customFormat="1" x14ac:dyDescent="0.25"/>
    <row r="182" s="93" customFormat="1" x14ac:dyDescent="0.25"/>
    <row r="183" s="93" customFormat="1" x14ac:dyDescent="0.25"/>
    <row r="184" s="93" customFormat="1" x14ac:dyDescent="0.25"/>
    <row r="185" s="93" customFormat="1" x14ac:dyDescent="0.25"/>
    <row r="186" s="93" customFormat="1" x14ac:dyDescent="0.25"/>
    <row r="187" s="93" customFormat="1" x14ac:dyDescent="0.25"/>
    <row r="188" s="93" customFormat="1" x14ac:dyDescent="0.25"/>
    <row r="189" s="93" customFormat="1" x14ac:dyDescent="0.25"/>
    <row r="190" s="93" customFormat="1" x14ac:dyDescent="0.25"/>
    <row r="191" s="93" customFormat="1" x14ac:dyDescent="0.25"/>
    <row r="192" s="93" customFormat="1" x14ac:dyDescent="0.25"/>
    <row r="193" s="93" customFormat="1" x14ac:dyDescent="0.25"/>
    <row r="194" s="93" customFormat="1" x14ac:dyDescent="0.25"/>
    <row r="195" s="93" customFormat="1" x14ac:dyDescent="0.25"/>
    <row r="196" s="93" customFormat="1" x14ac:dyDescent="0.25"/>
    <row r="197" s="93" customFormat="1" x14ac:dyDescent="0.25"/>
    <row r="198" s="93" customFormat="1" x14ac:dyDescent="0.25"/>
    <row r="199" s="93" customFormat="1" x14ac:dyDescent="0.25"/>
    <row r="200" s="93" customFormat="1" x14ac:dyDescent="0.25"/>
    <row r="201" s="93" customFormat="1" x14ac:dyDescent="0.25"/>
    <row r="202" s="93" customFormat="1" x14ac:dyDescent="0.25"/>
    <row r="203" s="93" customFormat="1" x14ac:dyDescent="0.25"/>
    <row r="204" s="93" customFormat="1" x14ac:dyDescent="0.25"/>
    <row r="205" s="93" customFormat="1" x14ac:dyDescent="0.25"/>
    <row r="206" s="93" customFormat="1" x14ac:dyDescent="0.25"/>
    <row r="207" s="93" customFormat="1" x14ac:dyDescent="0.25"/>
    <row r="208" s="93" customFormat="1" x14ac:dyDescent="0.25"/>
    <row r="209" s="93" customFormat="1" x14ac:dyDescent="0.25"/>
    <row r="210" s="93" customFormat="1" x14ac:dyDescent="0.25"/>
    <row r="211" s="93" customFormat="1" x14ac:dyDescent="0.25"/>
    <row r="212" s="93" customFormat="1" x14ac:dyDescent="0.25"/>
    <row r="213" s="93" customFormat="1" x14ac:dyDescent="0.25"/>
    <row r="214" s="93" customFormat="1" x14ac:dyDescent="0.25"/>
    <row r="215" s="93" customFormat="1" x14ac:dyDescent="0.25"/>
    <row r="216" s="93" customFormat="1" x14ac:dyDescent="0.25"/>
    <row r="217" s="93" customFormat="1" x14ac:dyDescent="0.25"/>
    <row r="218" s="93" customFormat="1" x14ac:dyDescent="0.25"/>
    <row r="219" s="93" customFormat="1" x14ac:dyDescent="0.25"/>
    <row r="220" s="93" customFormat="1" x14ac:dyDescent="0.25"/>
    <row r="221" s="93" customFormat="1" x14ac:dyDescent="0.25"/>
    <row r="222" s="93" customFormat="1" x14ac:dyDescent="0.25"/>
    <row r="223" s="93" customFormat="1" x14ac:dyDescent="0.25"/>
    <row r="224" s="93" customFormat="1" x14ac:dyDescent="0.25"/>
    <row r="225" s="93" customFormat="1" x14ac:dyDescent="0.25"/>
    <row r="226" s="93" customFormat="1" x14ac:dyDescent="0.25"/>
    <row r="227" s="93" customFormat="1" x14ac:dyDescent="0.25"/>
    <row r="228" s="93" customFormat="1" x14ac:dyDescent="0.25"/>
    <row r="229" s="93" customFormat="1" x14ac:dyDescent="0.25"/>
    <row r="230" s="93" customFormat="1" x14ac:dyDescent="0.25"/>
    <row r="231" s="93" customFormat="1" x14ac:dyDescent="0.25"/>
    <row r="232" s="93" customFormat="1" x14ac:dyDescent="0.25"/>
    <row r="233" s="93" customFormat="1" x14ac:dyDescent="0.25"/>
    <row r="234" s="93" customFormat="1" x14ac:dyDescent="0.25"/>
    <row r="235" s="93" customFormat="1" x14ac:dyDescent="0.25"/>
    <row r="236" s="93" customFormat="1" x14ac:dyDescent="0.25"/>
    <row r="237" s="93" customFormat="1" x14ac:dyDescent="0.25"/>
    <row r="238" s="93" customFormat="1" x14ac:dyDescent="0.25"/>
    <row r="239" s="93" customFormat="1" x14ac:dyDescent="0.25"/>
    <row r="240" s="93" customFormat="1" x14ac:dyDescent="0.25"/>
    <row r="241" s="93" customFormat="1" x14ac:dyDescent="0.25"/>
    <row r="242" s="93" customFormat="1" x14ac:dyDescent="0.25"/>
    <row r="243" s="93" customFormat="1" x14ac:dyDescent="0.25"/>
    <row r="244" s="93" customFormat="1" x14ac:dyDescent="0.25"/>
    <row r="245" s="93" customFormat="1" x14ac:dyDescent="0.25"/>
    <row r="246" s="93" customFormat="1" x14ac:dyDescent="0.25"/>
    <row r="247" s="93" customFormat="1" x14ac:dyDescent="0.25"/>
    <row r="248" s="93" customFormat="1" x14ac:dyDescent="0.25"/>
    <row r="249" s="93" customFormat="1" x14ac:dyDescent="0.25"/>
    <row r="250" s="93" customFormat="1" x14ac:dyDescent="0.25"/>
    <row r="251" s="93" customFormat="1" x14ac:dyDescent="0.25"/>
    <row r="252" s="93" customFormat="1" x14ac:dyDescent="0.25"/>
    <row r="253" s="93" customFormat="1" x14ac:dyDescent="0.25"/>
    <row r="254" s="93" customFormat="1" x14ac:dyDescent="0.25"/>
    <row r="255" s="93" customFormat="1" x14ac:dyDescent="0.25"/>
    <row r="256" s="93" customFormat="1" x14ac:dyDescent="0.25"/>
    <row r="257" s="93" customFormat="1" x14ac:dyDescent="0.25"/>
    <row r="258" s="93" customFormat="1" x14ac:dyDescent="0.25"/>
    <row r="259" s="93" customFormat="1" x14ac:dyDescent="0.25"/>
    <row r="260" s="93" customFormat="1" x14ac:dyDescent="0.25"/>
    <row r="261" s="93" customFormat="1" x14ac:dyDescent="0.25"/>
    <row r="262" s="93" customFormat="1" x14ac:dyDescent="0.25"/>
    <row r="263" s="93" customFormat="1" x14ac:dyDescent="0.25"/>
    <row r="264" s="93" customFormat="1" x14ac:dyDescent="0.25"/>
    <row r="265" s="93" customFormat="1" x14ac:dyDescent="0.25"/>
    <row r="266" s="93" customFormat="1" x14ac:dyDescent="0.25"/>
    <row r="267" s="93" customFormat="1" x14ac:dyDescent="0.25"/>
    <row r="268" s="93" customFormat="1" x14ac:dyDescent="0.25"/>
    <row r="269" s="93" customFormat="1" x14ac:dyDescent="0.25"/>
    <row r="270" s="93" customFormat="1" x14ac:dyDescent="0.25"/>
    <row r="271" s="93" customFormat="1" x14ac:dyDescent="0.25"/>
    <row r="272" s="93" customFormat="1" x14ac:dyDescent="0.25"/>
    <row r="273" s="93" customFormat="1" x14ac:dyDescent="0.25"/>
    <row r="274" s="93" customFormat="1" x14ac:dyDescent="0.25"/>
    <row r="275" s="93" customFormat="1" x14ac:dyDescent="0.25"/>
    <row r="276" s="93" customFormat="1" x14ac:dyDescent="0.25"/>
    <row r="277" s="93" customFormat="1" x14ac:dyDescent="0.25"/>
    <row r="278" s="93" customFormat="1" x14ac:dyDescent="0.25"/>
    <row r="279" s="93" customFormat="1" x14ac:dyDescent="0.25"/>
    <row r="280" s="93" customFormat="1" x14ac:dyDescent="0.25"/>
    <row r="281" s="93" customFormat="1" x14ac:dyDescent="0.25"/>
    <row r="282" s="93" customFormat="1" x14ac:dyDescent="0.25"/>
    <row r="283" s="93" customFormat="1" x14ac:dyDescent="0.25"/>
    <row r="284" s="93" customFormat="1" x14ac:dyDescent="0.25"/>
    <row r="285" s="93" customFormat="1" x14ac:dyDescent="0.25"/>
    <row r="286" s="93" customFormat="1" x14ac:dyDescent="0.25"/>
    <row r="287" s="93" customFormat="1" x14ac:dyDescent="0.25"/>
    <row r="288" s="93" customFormat="1" x14ac:dyDescent="0.25"/>
    <row r="289" s="93" customFormat="1" x14ac:dyDescent="0.25"/>
    <row r="290" s="93" customFormat="1" x14ac:dyDescent="0.25"/>
    <row r="291" s="93" customFormat="1" x14ac:dyDescent="0.25"/>
    <row r="292" s="93" customFormat="1" x14ac:dyDescent="0.25"/>
    <row r="293" s="93" customFormat="1" x14ac:dyDescent="0.25"/>
    <row r="294" s="93" customFormat="1" x14ac:dyDescent="0.25"/>
    <row r="295" s="93" customFormat="1" x14ac:dyDescent="0.25"/>
    <row r="296" s="93" customFormat="1" x14ac:dyDescent="0.25"/>
    <row r="297" s="93" customFormat="1" x14ac:dyDescent="0.25"/>
    <row r="298" s="93" customFormat="1" x14ac:dyDescent="0.25"/>
    <row r="299" s="93" customFormat="1" x14ac:dyDescent="0.25"/>
    <row r="300" s="93" customFormat="1" x14ac:dyDescent="0.25"/>
    <row r="301" s="93" customFormat="1" x14ac:dyDescent="0.25"/>
    <row r="302" s="93" customFormat="1" x14ac:dyDescent="0.25"/>
    <row r="303" s="93" customFormat="1" x14ac:dyDescent="0.25"/>
    <row r="304" s="93" customFormat="1" x14ac:dyDescent="0.25"/>
    <row r="305" s="93" customFormat="1" x14ac:dyDescent="0.25"/>
    <row r="306" s="93" customFormat="1" x14ac:dyDescent="0.25"/>
    <row r="307" s="93" customFormat="1" x14ac:dyDescent="0.25"/>
    <row r="308" s="93" customFormat="1" x14ac:dyDescent="0.25"/>
    <row r="309" s="93" customFormat="1" x14ac:dyDescent="0.25"/>
    <row r="310" s="93" customFormat="1" x14ac:dyDescent="0.25"/>
    <row r="311" s="93" customFormat="1" x14ac:dyDescent="0.25"/>
    <row r="312" s="93" customFormat="1" x14ac:dyDescent="0.25"/>
    <row r="313" s="93" customFormat="1" x14ac:dyDescent="0.25"/>
    <row r="314" s="93" customFormat="1" x14ac:dyDescent="0.25"/>
    <row r="315" s="93" customFormat="1" x14ac:dyDescent="0.25"/>
    <row r="316" s="93" customFormat="1" x14ac:dyDescent="0.25"/>
    <row r="317" s="93" customFormat="1" x14ac:dyDescent="0.25"/>
    <row r="318" s="93" customFormat="1" x14ac:dyDescent="0.25"/>
    <row r="319" s="93" customFormat="1" x14ac:dyDescent="0.25"/>
    <row r="320" s="93" customFormat="1" x14ac:dyDescent="0.25"/>
    <row r="321" s="93" customFormat="1" x14ac:dyDescent="0.25"/>
    <row r="322" s="93" customFormat="1" x14ac:dyDescent="0.25"/>
    <row r="323" s="93" customFormat="1" x14ac:dyDescent="0.25"/>
    <row r="324" s="93" customFormat="1" x14ac:dyDescent="0.25"/>
    <row r="325" s="93" customFormat="1" x14ac:dyDescent="0.25"/>
    <row r="326" s="93" customFormat="1" x14ac:dyDescent="0.25"/>
    <row r="327" s="93" customFormat="1" x14ac:dyDescent="0.25"/>
    <row r="328" s="93" customFormat="1" x14ac:dyDescent="0.25"/>
    <row r="329" s="93" customFormat="1" x14ac:dyDescent="0.25"/>
    <row r="330" s="93" customFormat="1" x14ac:dyDescent="0.25"/>
    <row r="331" s="93" customFormat="1" x14ac:dyDescent="0.25"/>
    <row r="332" s="93" customFormat="1" x14ac:dyDescent="0.25"/>
    <row r="333" s="93" customFormat="1" x14ac:dyDescent="0.25"/>
    <row r="334" s="93" customFormat="1" x14ac:dyDescent="0.25"/>
    <row r="335" s="93" customFormat="1" x14ac:dyDescent="0.25"/>
    <row r="336" s="93" customFormat="1" x14ac:dyDescent="0.25"/>
    <row r="337" s="93" customFormat="1" x14ac:dyDescent="0.25"/>
    <row r="338" s="93" customFormat="1" x14ac:dyDescent="0.25"/>
    <row r="339" s="93" customFormat="1" x14ac:dyDescent="0.25"/>
    <row r="340" s="93" customFormat="1" x14ac:dyDescent="0.25"/>
    <row r="341" s="93" customFormat="1" x14ac:dyDescent="0.25"/>
    <row r="342" s="93" customFormat="1" x14ac:dyDescent="0.25"/>
    <row r="343" s="93" customFormat="1" x14ac:dyDescent="0.25"/>
    <row r="344" s="93" customFormat="1" x14ac:dyDescent="0.25"/>
    <row r="345" s="93" customFormat="1" x14ac:dyDescent="0.25"/>
    <row r="346" s="93" customFormat="1" x14ac:dyDescent="0.25"/>
    <row r="347" s="93" customFormat="1" x14ac:dyDescent="0.25"/>
  </sheetData>
  <mergeCells count="8">
    <mergeCell ref="D4:G4"/>
    <mergeCell ref="D2:K2"/>
    <mergeCell ref="D3:K3"/>
    <mergeCell ref="H4:K4"/>
    <mergeCell ref="H6:K6"/>
    <mergeCell ref="D6:G6"/>
    <mergeCell ref="D5:G5"/>
    <mergeCell ref="H5:K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A4174"/>
  </sheetPr>
  <dimension ref="A1:AW433"/>
  <sheetViews>
    <sheetView showGridLines="0" showRowColHeaders="0" zoomScaleNormal="100" workbookViewId="0">
      <selection activeCell="N19" sqref="N1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1" width="4.28515625" style="93" customWidth="1"/>
    <col min="2" max="2" width="43.5703125" bestFit="1" customWidth="1"/>
    <col min="3" max="3" width="22" customWidth="1"/>
    <col min="4" max="4" width="28" customWidth="1"/>
    <col min="5" max="5" width="3" style="93" customWidth="1"/>
    <col min="6" max="49" width="8.7109375" style="93"/>
  </cols>
  <sheetData>
    <row r="1" spans="2:4" s="93" customFormat="1" ht="6.75" customHeight="1" x14ac:dyDescent="0.25"/>
    <row r="2" spans="2:4" s="93" customFormat="1" x14ac:dyDescent="0.25"/>
    <row r="3" spans="2:4" s="93" customFormat="1" x14ac:dyDescent="0.25"/>
    <row r="4" spans="2:4" s="93" customFormat="1" x14ac:dyDescent="0.25"/>
    <row r="5" spans="2:4" s="93" customFormat="1" x14ac:dyDescent="0.25"/>
    <row r="6" spans="2:4" s="93" customFormat="1" x14ac:dyDescent="0.25"/>
    <row r="7" spans="2:4" ht="39.75" customHeight="1" x14ac:dyDescent="0.25">
      <c r="B7" s="460" t="s">
        <v>262</v>
      </c>
      <c r="C7" s="460"/>
      <c r="D7" s="460"/>
    </row>
    <row r="8" spans="2:4" ht="15.75" customHeight="1" x14ac:dyDescent="0.25">
      <c r="B8" s="455" t="s">
        <v>263</v>
      </c>
      <c r="C8" s="455"/>
      <c r="D8" s="455"/>
    </row>
    <row r="9" spans="2:4" s="93" customFormat="1" x14ac:dyDescent="0.25"/>
    <row r="10" spans="2:4" ht="19.5" customHeight="1" x14ac:dyDescent="0.25">
      <c r="B10" s="462" t="s">
        <v>264</v>
      </c>
      <c r="C10" s="487"/>
      <c r="D10" s="462"/>
    </row>
    <row r="11" spans="2:4" ht="21.75" customHeight="1" thickBot="1" x14ac:dyDescent="0.3">
      <c r="B11" s="111" t="s">
        <v>265</v>
      </c>
      <c r="C11" s="116">
        <f>'🧾 Tributos Aduana'!F12</f>
        <v>24.168600000000001</v>
      </c>
      <c r="D11" s="113" t="s">
        <v>266</v>
      </c>
    </row>
    <row r="12" spans="2:4" ht="21.75" customHeight="1" thickBot="1" x14ac:dyDescent="0.3">
      <c r="B12" s="112" t="s">
        <v>267</v>
      </c>
      <c r="C12" s="115">
        <f>'🧾 Tributos Aduana'!F18</f>
        <v>348</v>
      </c>
      <c r="D12" s="114" t="s">
        <v>268</v>
      </c>
    </row>
    <row r="13" spans="2:4" ht="21.75" customHeight="1" thickBot="1" x14ac:dyDescent="0.3">
      <c r="B13" s="111" t="s">
        <v>269</v>
      </c>
      <c r="C13" s="115">
        <f>'🧾 Tributos Aduana'!F19</f>
        <v>2788</v>
      </c>
      <c r="D13" s="113" t="s">
        <v>270</v>
      </c>
    </row>
    <row r="14" spans="2:4" ht="21.75" customHeight="1" thickBot="1" x14ac:dyDescent="0.3">
      <c r="B14" s="112" t="s">
        <v>271</v>
      </c>
      <c r="C14" s="115">
        <f>'🧾 Tributos Aduana'!F23</f>
        <v>719.6</v>
      </c>
      <c r="D14" s="114" t="s">
        <v>272</v>
      </c>
    </row>
    <row r="15" spans="2:4" ht="21.75" customHeight="1" thickBot="1" x14ac:dyDescent="0.3">
      <c r="B15" s="111" t="s">
        <v>273</v>
      </c>
      <c r="C15" s="117">
        <f>'📦 Gastos Importación'!F26</f>
        <v>179.50319999999996</v>
      </c>
      <c r="D15" s="113" t="s">
        <v>274</v>
      </c>
    </row>
    <row r="16" spans="2:4" ht="27.75" customHeight="1" x14ac:dyDescent="0.25">
      <c r="B16" s="118" t="s">
        <v>275</v>
      </c>
      <c r="C16" s="119">
        <f>C11+C12+C13+C14+C15</f>
        <v>4059.2718</v>
      </c>
      <c r="D16" s="93"/>
    </row>
    <row r="17" spans="2:4" ht="27.75" customHeight="1" x14ac:dyDescent="0.25">
      <c r="B17" s="120" t="s">
        <v>276</v>
      </c>
      <c r="C17" s="121">
        <f>C16*'📋 Datos Generales'!E19</f>
        <v>15100.491096000002</v>
      </c>
      <c r="D17" s="93"/>
    </row>
    <row r="18" spans="2:4" s="93" customFormat="1" ht="15.75" thickBot="1" x14ac:dyDescent="0.3"/>
    <row r="19" spans="2:4" ht="90" customHeight="1" thickBot="1" x14ac:dyDescent="0.3">
      <c r="B19" s="488" t="s">
        <v>277</v>
      </c>
      <c r="C19" s="488"/>
      <c r="D19" s="488"/>
    </row>
    <row r="20" spans="2:4" ht="15" customHeight="1" thickBot="1" x14ac:dyDescent="0.3">
      <c r="B20" s="488"/>
      <c r="C20" s="488"/>
      <c r="D20" s="488"/>
    </row>
    <row r="21" spans="2:4" ht="15" customHeight="1" thickBot="1" x14ac:dyDescent="0.3">
      <c r="B21" s="488"/>
      <c r="C21" s="488"/>
      <c r="D21" s="488"/>
    </row>
    <row r="22" spans="2:4" ht="15" customHeight="1" thickBot="1" x14ac:dyDescent="0.3">
      <c r="B22" s="488"/>
      <c r="C22" s="488"/>
      <c r="D22" s="488"/>
    </row>
    <row r="23" spans="2:4" ht="15" customHeight="1" x14ac:dyDescent="0.25">
      <c r="B23" s="488"/>
      <c r="C23" s="488"/>
      <c r="D23" s="488"/>
    </row>
    <row r="24" spans="2:4" s="93" customFormat="1" x14ac:dyDescent="0.25"/>
    <row r="25" spans="2:4" s="93" customFormat="1" x14ac:dyDescent="0.25"/>
    <row r="26" spans="2:4" s="93" customFormat="1" x14ac:dyDescent="0.25"/>
    <row r="27" spans="2:4" s="93" customFormat="1" x14ac:dyDescent="0.25"/>
    <row r="28" spans="2:4" s="93" customFormat="1" x14ac:dyDescent="0.25"/>
    <row r="29" spans="2:4" s="93" customFormat="1" x14ac:dyDescent="0.25"/>
    <row r="30" spans="2:4" s="93" customFormat="1" x14ac:dyDescent="0.25"/>
    <row r="31" spans="2:4" s="93" customFormat="1" x14ac:dyDescent="0.25"/>
    <row r="32" spans="2:4" s="93" customFormat="1" x14ac:dyDescent="0.25"/>
    <row r="33" s="93" customFormat="1" x14ac:dyDescent="0.25"/>
    <row r="34" s="93" customFormat="1" x14ac:dyDescent="0.25"/>
    <row r="35" s="93" customFormat="1" x14ac:dyDescent="0.25"/>
    <row r="36" s="93" customFormat="1" x14ac:dyDescent="0.25"/>
    <row r="37" s="93" customFormat="1" x14ac:dyDescent="0.25"/>
    <row r="38" s="93" customFormat="1" x14ac:dyDescent="0.25"/>
    <row r="39" s="93" customFormat="1" x14ac:dyDescent="0.25"/>
    <row r="40" s="93" customFormat="1" x14ac:dyDescent="0.25"/>
    <row r="41" s="93" customFormat="1" x14ac:dyDescent="0.25"/>
    <row r="42" s="93" customFormat="1" x14ac:dyDescent="0.25"/>
    <row r="43" s="93" customFormat="1" x14ac:dyDescent="0.25"/>
    <row r="44" s="93" customFormat="1" x14ac:dyDescent="0.25"/>
    <row r="45" s="93" customFormat="1" x14ac:dyDescent="0.25"/>
    <row r="46" s="93" customFormat="1" x14ac:dyDescent="0.25"/>
    <row r="47" s="93" customFormat="1" x14ac:dyDescent="0.25"/>
    <row r="48" s="93" customFormat="1" x14ac:dyDescent="0.25"/>
    <row r="49" s="93" customFormat="1" x14ac:dyDescent="0.25"/>
    <row r="50" s="93" customFormat="1" x14ac:dyDescent="0.25"/>
    <row r="51" s="93" customFormat="1" x14ac:dyDescent="0.25"/>
    <row r="52" s="93" customFormat="1" x14ac:dyDescent="0.25"/>
    <row r="53" s="93" customFormat="1" x14ac:dyDescent="0.25"/>
    <row r="54" s="93" customFormat="1" x14ac:dyDescent="0.25"/>
    <row r="55" s="93" customFormat="1" x14ac:dyDescent="0.25"/>
    <row r="56" s="93" customFormat="1" x14ac:dyDescent="0.25"/>
    <row r="57" s="93" customFormat="1" x14ac:dyDescent="0.25"/>
    <row r="58" s="93" customFormat="1" x14ac:dyDescent="0.25"/>
    <row r="59" s="93" customFormat="1" x14ac:dyDescent="0.25"/>
    <row r="60" s="93" customFormat="1" x14ac:dyDescent="0.25"/>
    <row r="61" s="93" customFormat="1" x14ac:dyDescent="0.25"/>
    <row r="62" s="93" customFormat="1" x14ac:dyDescent="0.25"/>
    <row r="63" s="93" customFormat="1" x14ac:dyDescent="0.25"/>
    <row r="64" s="93" customFormat="1" x14ac:dyDescent="0.25"/>
    <row r="65" s="93" customFormat="1" x14ac:dyDescent="0.25"/>
    <row r="66" s="93" customFormat="1" x14ac:dyDescent="0.25"/>
    <row r="67" s="93" customFormat="1" x14ac:dyDescent="0.25"/>
    <row r="68" s="93" customFormat="1" x14ac:dyDescent="0.25"/>
    <row r="69" s="93" customFormat="1" x14ac:dyDescent="0.25"/>
    <row r="70" s="93" customFormat="1" x14ac:dyDescent="0.25"/>
    <row r="71" s="93" customFormat="1" x14ac:dyDescent="0.25"/>
    <row r="72" s="93" customFormat="1" x14ac:dyDescent="0.25"/>
    <row r="73" s="93" customFormat="1" x14ac:dyDescent="0.25"/>
    <row r="74" s="93" customFormat="1" x14ac:dyDescent="0.25"/>
    <row r="75" s="93" customFormat="1" x14ac:dyDescent="0.25"/>
    <row r="76" s="93" customFormat="1" x14ac:dyDescent="0.25"/>
    <row r="77" s="93" customFormat="1" x14ac:dyDescent="0.25"/>
    <row r="78" s="93" customFormat="1" x14ac:dyDescent="0.25"/>
    <row r="79" s="93" customFormat="1" x14ac:dyDescent="0.25"/>
    <row r="80" s="93" customFormat="1" x14ac:dyDescent="0.25"/>
    <row r="81" s="93" customFormat="1" x14ac:dyDescent="0.25"/>
    <row r="82" s="93" customFormat="1" x14ac:dyDescent="0.25"/>
    <row r="83" s="93" customFormat="1" x14ac:dyDescent="0.25"/>
    <row r="84" s="93" customFormat="1" x14ac:dyDescent="0.25"/>
    <row r="85" s="93" customFormat="1" x14ac:dyDescent="0.25"/>
    <row r="86" s="93" customFormat="1" x14ac:dyDescent="0.25"/>
    <row r="87" s="93" customFormat="1" x14ac:dyDescent="0.25"/>
    <row r="88" s="93" customFormat="1" x14ac:dyDescent="0.25"/>
    <row r="89" s="93" customFormat="1" x14ac:dyDescent="0.25"/>
    <row r="90" s="93" customFormat="1" x14ac:dyDescent="0.25"/>
    <row r="91" s="93" customFormat="1" x14ac:dyDescent="0.25"/>
    <row r="92" s="93" customFormat="1" x14ac:dyDescent="0.25"/>
    <row r="93" s="93" customFormat="1" x14ac:dyDescent="0.25"/>
    <row r="94" s="93" customFormat="1" x14ac:dyDescent="0.25"/>
    <row r="95" s="93" customFormat="1" x14ac:dyDescent="0.25"/>
    <row r="96" s="93" customFormat="1" x14ac:dyDescent="0.25"/>
    <row r="97" s="93" customFormat="1" x14ac:dyDescent="0.25"/>
    <row r="98" s="93" customFormat="1" x14ac:dyDescent="0.25"/>
    <row r="99" s="93" customFormat="1" x14ac:dyDescent="0.25"/>
    <row r="100" s="93" customFormat="1" x14ac:dyDescent="0.25"/>
    <row r="101" s="93" customFormat="1" x14ac:dyDescent="0.25"/>
    <row r="102" s="93" customFormat="1" x14ac:dyDescent="0.25"/>
    <row r="103" s="93" customFormat="1" x14ac:dyDescent="0.25"/>
    <row r="104" s="93" customFormat="1" x14ac:dyDescent="0.25"/>
    <row r="105" s="93" customFormat="1" x14ac:dyDescent="0.25"/>
    <row r="106" s="93" customFormat="1" x14ac:dyDescent="0.25"/>
    <row r="107" s="93" customFormat="1" x14ac:dyDescent="0.25"/>
    <row r="108" s="93" customFormat="1" x14ac:dyDescent="0.25"/>
    <row r="109" s="93" customFormat="1" x14ac:dyDescent="0.25"/>
    <row r="110" s="93" customFormat="1" x14ac:dyDescent="0.25"/>
    <row r="111" s="93" customFormat="1" x14ac:dyDescent="0.25"/>
    <row r="112" s="93" customFormat="1" x14ac:dyDescent="0.25"/>
    <row r="113" s="93" customFormat="1" x14ac:dyDescent="0.25"/>
    <row r="114" s="93" customFormat="1" x14ac:dyDescent="0.25"/>
    <row r="115" s="93" customFormat="1" x14ac:dyDescent="0.25"/>
    <row r="116" s="93" customFormat="1" x14ac:dyDescent="0.25"/>
    <row r="117" s="93" customFormat="1" x14ac:dyDescent="0.25"/>
    <row r="118" s="93" customFormat="1" x14ac:dyDescent="0.25"/>
    <row r="119" s="93" customFormat="1" x14ac:dyDescent="0.25"/>
    <row r="120" s="93" customFormat="1" x14ac:dyDescent="0.25"/>
    <row r="121" s="93" customFormat="1" x14ac:dyDescent="0.25"/>
    <row r="122" s="93" customFormat="1" x14ac:dyDescent="0.25"/>
    <row r="123" s="93" customFormat="1" x14ac:dyDescent="0.25"/>
    <row r="124" s="93" customFormat="1" x14ac:dyDescent="0.25"/>
    <row r="125" s="93" customFormat="1" x14ac:dyDescent="0.25"/>
    <row r="126" s="93" customFormat="1" x14ac:dyDescent="0.25"/>
    <row r="127" s="93" customFormat="1" x14ac:dyDescent="0.25"/>
    <row r="128" s="93" customFormat="1" x14ac:dyDescent="0.25"/>
    <row r="129" s="93" customFormat="1" x14ac:dyDescent="0.25"/>
    <row r="130" s="93" customFormat="1" x14ac:dyDescent="0.25"/>
    <row r="131" s="93" customFormat="1" x14ac:dyDescent="0.25"/>
    <row r="132" s="93" customFormat="1" x14ac:dyDescent="0.25"/>
    <row r="133" s="93" customFormat="1" x14ac:dyDescent="0.25"/>
    <row r="134" s="93" customFormat="1" x14ac:dyDescent="0.25"/>
    <row r="135" s="93" customFormat="1" x14ac:dyDescent="0.25"/>
    <row r="136" s="93" customFormat="1" x14ac:dyDescent="0.25"/>
    <row r="137" s="93" customFormat="1" x14ac:dyDescent="0.25"/>
    <row r="138" s="93" customFormat="1" x14ac:dyDescent="0.25"/>
    <row r="139" s="93" customFormat="1" x14ac:dyDescent="0.25"/>
    <row r="140" s="93" customFormat="1" x14ac:dyDescent="0.25"/>
    <row r="141" s="93" customFormat="1" x14ac:dyDescent="0.25"/>
    <row r="142" s="93" customFormat="1" x14ac:dyDescent="0.25"/>
    <row r="143" s="93" customFormat="1" x14ac:dyDescent="0.25"/>
    <row r="144" s="93" customFormat="1" x14ac:dyDescent="0.25"/>
    <row r="145" s="93" customFormat="1" x14ac:dyDescent="0.25"/>
    <row r="146" s="93" customFormat="1" x14ac:dyDescent="0.25"/>
    <row r="147" s="93" customFormat="1" x14ac:dyDescent="0.25"/>
    <row r="148" s="93" customFormat="1" x14ac:dyDescent="0.25"/>
    <row r="149" s="93" customFormat="1" x14ac:dyDescent="0.25"/>
    <row r="150" s="93" customFormat="1" x14ac:dyDescent="0.25"/>
    <row r="151" s="93" customFormat="1" x14ac:dyDescent="0.25"/>
    <row r="152" s="93" customFormat="1" x14ac:dyDescent="0.25"/>
    <row r="153" s="93" customFormat="1" x14ac:dyDescent="0.25"/>
    <row r="154" s="93" customFormat="1" x14ac:dyDescent="0.25"/>
    <row r="155" s="93" customFormat="1" x14ac:dyDescent="0.25"/>
    <row r="156" s="93" customFormat="1" x14ac:dyDescent="0.25"/>
    <row r="157" s="93" customFormat="1" x14ac:dyDescent="0.25"/>
    <row r="158" s="93" customFormat="1" x14ac:dyDescent="0.25"/>
    <row r="159" s="93" customFormat="1" x14ac:dyDescent="0.25"/>
    <row r="160" s="93" customFormat="1" x14ac:dyDescent="0.25"/>
    <row r="161" s="93" customFormat="1" x14ac:dyDescent="0.25"/>
    <row r="162" s="93" customFormat="1" x14ac:dyDescent="0.25"/>
    <row r="163" s="93" customFormat="1" x14ac:dyDescent="0.25"/>
    <row r="164" s="93" customFormat="1" x14ac:dyDescent="0.25"/>
    <row r="165" s="93" customFormat="1" x14ac:dyDescent="0.25"/>
    <row r="166" s="93" customFormat="1" x14ac:dyDescent="0.25"/>
    <row r="167" s="93" customFormat="1" x14ac:dyDescent="0.25"/>
    <row r="168" s="93" customFormat="1" x14ac:dyDescent="0.25"/>
    <row r="169" s="93" customFormat="1" x14ac:dyDescent="0.25"/>
    <row r="170" s="93" customFormat="1" x14ac:dyDescent="0.25"/>
    <row r="171" s="93" customFormat="1" x14ac:dyDescent="0.25"/>
    <row r="172" s="93" customFormat="1" x14ac:dyDescent="0.25"/>
    <row r="173" s="93" customFormat="1" x14ac:dyDescent="0.25"/>
    <row r="174" s="93" customFormat="1" x14ac:dyDescent="0.25"/>
    <row r="175" s="93" customFormat="1" x14ac:dyDescent="0.25"/>
    <row r="176" s="93" customFormat="1" x14ac:dyDescent="0.25"/>
    <row r="177" s="93" customFormat="1" x14ac:dyDescent="0.25"/>
    <row r="178" s="93" customFormat="1" x14ac:dyDescent="0.25"/>
    <row r="179" s="93" customFormat="1" x14ac:dyDescent="0.25"/>
    <row r="180" s="93" customFormat="1" x14ac:dyDescent="0.25"/>
    <row r="181" s="93" customFormat="1" x14ac:dyDescent="0.25"/>
    <row r="182" s="93" customFormat="1" x14ac:dyDescent="0.25"/>
    <row r="183" s="93" customFormat="1" x14ac:dyDescent="0.25"/>
    <row r="184" s="93" customFormat="1" x14ac:dyDescent="0.25"/>
    <row r="185" s="93" customFormat="1" x14ac:dyDescent="0.25"/>
    <row r="186" s="93" customFormat="1" x14ac:dyDescent="0.25"/>
    <row r="187" s="93" customFormat="1" x14ac:dyDescent="0.25"/>
    <row r="188" s="93" customFormat="1" x14ac:dyDescent="0.25"/>
    <row r="189" s="93" customFormat="1" x14ac:dyDescent="0.25"/>
    <row r="190" s="93" customFormat="1" x14ac:dyDescent="0.25"/>
    <row r="191" s="93" customFormat="1" x14ac:dyDescent="0.25"/>
    <row r="192" s="93" customFormat="1" x14ac:dyDescent="0.25"/>
    <row r="193" s="93" customFormat="1" x14ac:dyDescent="0.25"/>
    <row r="194" s="93" customFormat="1" x14ac:dyDescent="0.25"/>
    <row r="195" s="93" customFormat="1" x14ac:dyDescent="0.25"/>
    <row r="196" s="93" customFormat="1" x14ac:dyDescent="0.25"/>
    <row r="197" s="93" customFormat="1" x14ac:dyDescent="0.25"/>
    <row r="198" s="93" customFormat="1" x14ac:dyDescent="0.25"/>
    <row r="199" s="93" customFormat="1" x14ac:dyDescent="0.25"/>
    <row r="200" s="93" customFormat="1" x14ac:dyDescent="0.25"/>
    <row r="201" s="93" customFormat="1" x14ac:dyDescent="0.25"/>
    <row r="202" s="93" customFormat="1" x14ac:dyDescent="0.25"/>
    <row r="203" s="93" customFormat="1" x14ac:dyDescent="0.25"/>
    <row r="204" s="93" customFormat="1" x14ac:dyDescent="0.25"/>
    <row r="205" s="93" customFormat="1" x14ac:dyDescent="0.25"/>
    <row r="206" s="93" customFormat="1" x14ac:dyDescent="0.25"/>
    <row r="207" s="93" customFormat="1" x14ac:dyDescent="0.25"/>
    <row r="208" s="93" customFormat="1" x14ac:dyDescent="0.25"/>
    <row r="209" s="93" customFormat="1" x14ac:dyDescent="0.25"/>
    <row r="210" s="93" customFormat="1" x14ac:dyDescent="0.25"/>
    <row r="211" s="93" customFormat="1" x14ac:dyDescent="0.25"/>
    <row r="212" s="93" customFormat="1" x14ac:dyDescent="0.25"/>
    <row r="213" s="93" customFormat="1" x14ac:dyDescent="0.25"/>
    <row r="214" s="93" customFormat="1" x14ac:dyDescent="0.25"/>
    <row r="215" s="93" customFormat="1" x14ac:dyDescent="0.25"/>
    <row r="216" s="93" customFormat="1" x14ac:dyDescent="0.25"/>
    <row r="217" s="93" customFormat="1" x14ac:dyDescent="0.25"/>
    <row r="218" s="93" customFormat="1" x14ac:dyDescent="0.25"/>
    <row r="219" s="93" customFormat="1" x14ac:dyDescent="0.25"/>
    <row r="220" s="93" customFormat="1" x14ac:dyDescent="0.25"/>
    <row r="221" s="93" customFormat="1" x14ac:dyDescent="0.25"/>
    <row r="222" s="93" customFormat="1" x14ac:dyDescent="0.25"/>
    <row r="223" s="93" customFormat="1" x14ac:dyDescent="0.25"/>
    <row r="224" s="93" customFormat="1" x14ac:dyDescent="0.25"/>
    <row r="225" s="93" customFormat="1" x14ac:dyDescent="0.25"/>
    <row r="226" s="93" customFormat="1" x14ac:dyDescent="0.25"/>
    <row r="227" s="93" customFormat="1" x14ac:dyDescent="0.25"/>
    <row r="228" s="93" customFormat="1" x14ac:dyDescent="0.25"/>
    <row r="229" s="93" customFormat="1" x14ac:dyDescent="0.25"/>
    <row r="230" s="93" customFormat="1" x14ac:dyDescent="0.25"/>
    <row r="231" s="93" customFormat="1" x14ac:dyDescent="0.25"/>
    <row r="232" s="93" customFormat="1" x14ac:dyDescent="0.25"/>
    <row r="233" s="93" customFormat="1" x14ac:dyDescent="0.25"/>
    <row r="234" s="93" customFormat="1" x14ac:dyDescent="0.25"/>
    <row r="235" s="93" customFormat="1" x14ac:dyDescent="0.25"/>
    <row r="236" s="93" customFormat="1" x14ac:dyDescent="0.25"/>
    <row r="237" s="93" customFormat="1" x14ac:dyDescent="0.25"/>
    <row r="238" s="93" customFormat="1" x14ac:dyDescent="0.25"/>
    <row r="239" s="93" customFormat="1" x14ac:dyDescent="0.25"/>
    <row r="240" s="93" customFormat="1" x14ac:dyDescent="0.25"/>
    <row r="241" s="93" customFormat="1" x14ac:dyDescent="0.25"/>
    <row r="242" s="93" customFormat="1" x14ac:dyDescent="0.25"/>
    <row r="243" s="93" customFormat="1" x14ac:dyDescent="0.25"/>
    <row r="244" s="93" customFormat="1" x14ac:dyDescent="0.25"/>
    <row r="245" s="93" customFormat="1" x14ac:dyDescent="0.25"/>
    <row r="246" s="93" customFormat="1" x14ac:dyDescent="0.25"/>
    <row r="247" s="93" customFormat="1" x14ac:dyDescent="0.25"/>
    <row r="248" s="93" customFormat="1" x14ac:dyDescent="0.25"/>
    <row r="249" s="93" customFormat="1" x14ac:dyDescent="0.25"/>
    <row r="250" s="93" customFormat="1" x14ac:dyDescent="0.25"/>
    <row r="251" s="93" customFormat="1" x14ac:dyDescent="0.25"/>
    <row r="252" s="93" customFormat="1" x14ac:dyDescent="0.25"/>
    <row r="253" s="93" customFormat="1" x14ac:dyDescent="0.25"/>
    <row r="254" s="93" customFormat="1" x14ac:dyDescent="0.25"/>
    <row r="255" s="93" customFormat="1" x14ac:dyDescent="0.25"/>
    <row r="256" s="93" customFormat="1" x14ac:dyDescent="0.25"/>
    <row r="257" s="93" customFormat="1" x14ac:dyDescent="0.25"/>
    <row r="258" s="93" customFormat="1" x14ac:dyDescent="0.25"/>
    <row r="259" s="93" customFormat="1" x14ac:dyDescent="0.25"/>
    <row r="260" s="93" customFormat="1" x14ac:dyDescent="0.25"/>
    <row r="261" s="93" customFormat="1" x14ac:dyDescent="0.25"/>
    <row r="262" s="93" customFormat="1" x14ac:dyDescent="0.25"/>
    <row r="263" s="93" customFormat="1" x14ac:dyDescent="0.25"/>
    <row r="264" s="93" customFormat="1" x14ac:dyDescent="0.25"/>
    <row r="265" s="93" customFormat="1" x14ac:dyDescent="0.25"/>
    <row r="266" s="93" customFormat="1" x14ac:dyDescent="0.25"/>
    <row r="267" s="93" customFormat="1" x14ac:dyDescent="0.25"/>
    <row r="268" s="93" customFormat="1" x14ac:dyDescent="0.25"/>
    <row r="269" s="93" customFormat="1" x14ac:dyDescent="0.25"/>
    <row r="270" s="93" customFormat="1" x14ac:dyDescent="0.25"/>
    <row r="271" s="93" customFormat="1" x14ac:dyDescent="0.25"/>
    <row r="272" s="93" customFormat="1" x14ac:dyDescent="0.25"/>
    <row r="273" s="93" customFormat="1" x14ac:dyDescent="0.25"/>
    <row r="274" s="93" customFormat="1" x14ac:dyDescent="0.25"/>
    <row r="275" s="93" customFormat="1" x14ac:dyDescent="0.25"/>
    <row r="276" s="93" customFormat="1" x14ac:dyDescent="0.25"/>
    <row r="277" s="93" customFormat="1" x14ac:dyDescent="0.25"/>
    <row r="278" s="93" customFormat="1" x14ac:dyDescent="0.25"/>
    <row r="279" s="93" customFormat="1" x14ac:dyDescent="0.25"/>
    <row r="280" s="93" customFormat="1" x14ac:dyDescent="0.25"/>
    <row r="281" s="93" customFormat="1" x14ac:dyDescent="0.25"/>
    <row r="282" s="93" customFormat="1" x14ac:dyDescent="0.25"/>
    <row r="283" s="93" customFormat="1" x14ac:dyDescent="0.25"/>
    <row r="284" s="93" customFormat="1" x14ac:dyDescent="0.25"/>
    <row r="285" s="93" customFormat="1" x14ac:dyDescent="0.25"/>
    <row r="286" s="93" customFormat="1" x14ac:dyDescent="0.25"/>
    <row r="287" s="93" customFormat="1" x14ac:dyDescent="0.25"/>
    <row r="288" s="93" customFormat="1" x14ac:dyDescent="0.25"/>
    <row r="289" s="93" customFormat="1" x14ac:dyDescent="0.25"/>
    <row r="290" s="93" customFormat="1" x14ac:dyDescent="0.25"/>
    <row r="291" s="93" customFormat="1" x14ac:dyDescent="0.25"/>
    <row r="292" s="93" customFormat="1" x14ac:dyDescent="0.25"/>
    <row r="293" s="93" customFormat="1" x14ac:dyDescent="0.25"/>
    <row r="294" s="93" customFormat="1" x14ac:dyDescent="0.25"/>
    <row r="295" s="93" customFormat="1" x14ac:dyDescent="0.25"/>
    <row r="296" s="93" customFormat="1" x14ac:dyDescent="0.25"/>
    <row r="297" s="93" customFormat="1" x14ac:dyDescent="0.25"/>
    <row r="298" s="93" customFormat="1" x14ac:dyDescent="0.25"/>
    <row r="299" s="93" customFormat="1" x14ac:dyDescent="0.25"/>
    <row r="300" s="93" customFormat="1" x14ac:dyDescent="0.25"/>
    <row r="301" s="93" customFormat="1" x14ac:dyDescent="0.25"/>
    <row r="302" s="93" customFormat="1" x14ac:dyDescent="0.25"/>
    <row r="303" s="93" customFormat="1" x14ac:dyDescent="0.25"/>
    <row r="304" s="93" customFormat="1" x14ac:dyDescent="0.25"/>
    <row r="305" s="93" customFormat="1" x14ac:dyDescent="0.25"/>
    <row r="306" s="93" customFormat="1" x14ac:dyDescent="0.25"/>
    <row r="307" s="93" customFormat="1" x14ac:dyDescent="0.25"/>
    <row r="308" s="93" customFormat="1" x14ac:dyDescent="0.25"/>
    <row r="309" s="93" customFormat="1" x14ac:dyDescent="0.25"/>
    <row r="310" s="93" customFormat="1" x14ac:dyDescent="0.25"/>
    <row r="311" s="93" customFormat="1" x14ac:dyDescent="0.25"/>
    <row r="312" s="93" customFormat="1" x14ac:dyDescent="0.25"/>
    <row r="313" s="93" customFormat="1" x14ac:dyDescent="0.25"/>
    <row r="314" s="93" customFormat="1" x14ac:dyDescent="0.25"/>
    <row r="315" s="93" customFormat="1" x14ac:dyDescent="0.25"/>
    <row r="316" s="93" customFormat="1" x14ac:dyDescent="0.25"/>
    <row r="317" s="93" customFormat="1" x14ac:dyDescent="0.25"/>
    <row r="318" s="93" customFormat="1" x14ac:dyDescent="0.25"/>
    <row r="319" s="93" customFormat="1" x14ac:dyDescent="0.25"/>
    <row r="320" s="93" customFormat="1" x14ac:dyDescent="0.25"/>
    <row r="321" s="93" customFormat="1" x14ac:dyDescent="0.25"/>
    <row r="322" s="93" customFormat="1" x14ac:dyDescent="0.25"/>
    <row r="323" s="93" customFormat="1" x14ac:dyDescent="0.25"/>
    <row r="324" s="93" customFormat="1" x14ac:dyDescent="0.25"/>
    <row r="325" s="93" customFormat="1" x14ac:dyDescent="0.25"/>
    <row r="326" s="93" customFormat="1" x14ac:dyDescent="0.25"/>
    <row r="327" s="93" customFormat="1" x14ac:dyDescent="0.25"/>
    <row r="328" s="93" customFormat="1" x14ac:dyDescent="0.25"/>
    <row r="329" s="93" customFormat="1" x14ac:dyDescent="0.25"/>
    <row r="330" s="93" customFormat="1" x14ac:dyDescent="0.25"/>
    <row r="331" s="93" customFormat="1" x14ac:dyDescent="0.25"/>
    <row r="332" s="93" customFormat="1" x14ac:dyDescent="0.25"/>
    <row r="333" s="93" customFormat="1" x14ac:dyDescent="0.25"/>
    <row r="334" s="93" customFormat="1" x14ac:dyDescent="0.25"/>
    <row r="335" s="93" customFormat="1" x14ac:dyDescent="0.25"/>
    <row r="336" s="93" customFormat="1" x14ac:dyDescent="0.25"/>
    <row r="337" s="93" customFormat="1" x14ac:dyDescent="0.25"/>
    <row r="338" s="93" customFormat="1" x14ac:dyDescent="0.25"/>
    <row r="339" s="93" customFormat="1" x14ac:dyDescent="0.25"/>
    <row r="340" s="93" customFormat="1" x14ac:dyDescent="0.25"/>
    <row r="341" s="93" customFormat="1" x14ac:dyDescent="0.25"/>
    <row r="342" s="93" customFormat="1" x14ac:dyDescent="0.25"/>
    <row r="343" s="93" customFormat="1" x14ac:dyDescent="0.25"/>
    <row r="344" s="93" customFormat="1" x14ac:dyDescent="0.25"/>
    <row r="345" s="93" customFormat="1" x14ac:dyDescent="0.25"/>
    <row r="346" s="93" customFormat="1" x14ac:dyDescent="0.25"/>
    <row r="347" s="93" customFormat="1" x14ac:dyDescent="0.25"/>
    <row r="348" s="93" customFormat="1" x14ac:dyDescent="0.25"/>
    <row r="349" s="93" customFormat="1" x14ac:dyDescent="0.25"/>
    <row r="350" s="93" customFormat="1" x14ac:dyDescent="0.25"/>
    <row r="351" s="93" customFormat="1" x14ac:dyDescent="0.25"/>
    <row r="352" s="93" customFormat="1" x14ac:dyDescent="0.25"/>
    <row r="353" s="93" customFormat="1" x14ac:dyDescent="0.25"/>
    <row r="354" s="93" customFormat="1" x14ac:dyDescent="0.25"/>
    <row r="355" s="93" customFormat="1" x14ac:dyDescent="0.25"/>
    <row r="356" s="93" customFormat="1" x14ac:dyDescent="0.25"/>
    <row r="357" s="93" customFormat="1" x14ac:dyDescent="0.25"/>
    <row r="358" s="93" customFormat="1" x14ac:dyDescent="0.25"/>
    <row r="359" s="93" customFormat="1" x14ac:dyDescent="0.25"/>
    <row r="360" s="93" customFormat="1" x14ac:dyDescent="0.25"/>
    <row r="361" s="93" customFormat="1" x14ac:dyDescent="0.25"/>
    <row r="362" s="93" customFormat="1" x14ac:dyDescent="0.25"/>
    <row r="363" s="93" customFormat="1" x14ac:dyDescent="0.25"/>
    <row r="364" s="93" customFormat="1" x14ac:dyDescent="0.25"/>
    <row r="365" s="93" customFormat="1" x14ac:dyDescent="0.25"/>
    <row r="366" s="93" customFormat="1" x14ac:dyDescent="0.25"/>
    <row r="367" s="93" customFormat="1" x14ac:dyDescent="0.25"/>
    <row r="368" s="93" customFormat="1" x14ac:dyDescent="0.25"/>
    <row r="369" s="93" customFormat="1" x14ac:dyDescent="0.25"/>
    <row r="370" s="93" customFormat="1" x14ac:dyDescent="0.25"/>
    <row r="371" s="93" customFormat="1" x14ac:dyDescent="0.25"/>
    <row r="372" s="93" customFormat="1" x14ac:dyDescent="0.25"/>
    <row r="373" s="93" customFormat="1" x14ac:dyDescent="0.25"/>
    <row r="374" s="93" customFormat="1" x14ac:dyDescent="0.25"/>
    <row r="375" s="93" customFormat="1" x14ac:dyDescent="0.25"/>
    <row r="376" s="93" customFormat="1" x14ac:dyDescent="0.25"/>
    <row r="377" s="93" customFormat="1" x14ac:dyDescent="0.25"/>
    <row r="378" s="93" customFormat="1" x14ac:dyDescent="0.25"/>
    <row r="379" s="93" customFormat="1" x14ac:dyDescent="0.25"/>
    <row r="380" s="93" customFormat="1" x14ac:dyDescent="0.25"/>
    <row r="381" s="93" customFormat="1" x14ac:dyDescent="0.25"/>
    <row r="382" s="93" customFormat="1" x14ac:dyDescent="0.25"/>
    <row r="383" s="93" customFormat="1" x14ac:dyDescent="0.25"/>
    <row r="384" s="93" customFormat="1" x14ac:dyDescent="0.25"/>
    <row r="385" s="93" customFormat="1" x14ac:dyDescent="0.25"/>
    <row r="386" s="93" customFormat="1" x14ac:dyDescent="0.25"/>
    <row r="387" s="93" customFormat="1" x14ac:dyDescent="0.25"/>
    <row r="388" s="93" customFormat="1" x14ac:dyDescent="0.25"/>
    <row r="389" s="93" customFormat="1" x14ac:dyDescent="0.25"/>
    <row r="390" s="93" customFormat="1" x14ac:dyDescent="0.25"/>
    <row r="391" s="93" customFormat="1" x14ac:dyDescent="0.25"/>
    <row r="392" s="93" customFormat="1" x14ac:dyDescent="0.25"/>
    <row r="393" s="93" customFormat="1" x14ac:dyDescent="0.25"/>
    <row r="394" s="93" customFormat="1" x14ac:dyDescent="0.25"/>
    <row r="395" s="93" customFormat="1" x14ac:dyDescent="0.25"/>
    <row r="396" s="93" customFormat="1" x14ac:dyDescent="0.25"/>
    <row r="397" s="93" customFormat="1" x14ac:dyDescent="0.25"/>
    <row r="398" s="93" customFormat="1" x14ac:dyDescent="0.25"/>
    <row r="399" s="93" customFormat="1" x14ac:dyDescent="0.25"/>
    <row r="400" s="93" customFormat="1" x14ac:dyDescent="0.25"/>
    <row r="401" s="93" customFormat="1" x14ac:dyDescent="0.25"/>
    <row r="402" s="93" customFormat="1" x14ac:dyDescent="0.25"/>
    <row r="403" s="93" customFormat="1" x14ac:dyDescent="0.25"/>
    <row r="404" s="93" customFormat="1" x14ac:dyDescent="0.25"/>
    <row r="405" s="93" customFormat="1" x14ac:dyDescent="0.25"/>
    <row r="406" s="93" customFormat="1" x14ac:dyDescent="0.25"/>
    <row r="407" s="93" customFormat="1" x14ac:dyDescent="0.25"/>
    <row r="408" s="93" customFormat="1" x14ac:dyDescent="0.25"/>
    <row r="409" s="93" customFormat="1" x14ac:dyDescent="0.25"/>
    <row r="410" s="93" customFormat="1" x14ac:dyDescent="0.25"/>
    <row r="411" s="93" customFormat="1" x14ac:dyDescent="0.25"/>
    <row r="412" s="93" customFormat="1" x14ac:dyDescent="0.25"/>
    <row r="413" s="93" customFormat="1" x14ac:dyDescent="0.25"/>
    <row r="414" s="93" customFormat="1" x14ac:dyDescent="0.25"/>
    <row r="415" s="93" customFormat="1" x14ac:dyDescent="0.25"/>
    <row r="416" s="93" customFormat="1" x14ac:dyDescent="0.25"/>
    <row r="417" s="93" customFormat="1" x14ac:dyDescent="0.25"/>
    <row r="418" s="93" customFormat="1" x14ac:dyDescent="0.25"/>
    <row r="419" s="93" customFormat="1" x14ac:dyDescent="0.25"/>
    <row r="420" s="93" customFormat="1" x14ac:dyDescent="0.25"/>
    <row r="421" s="93" customFormat="1" x14ac:dyDescent="0.25"/>
    <row r="422" s="93" customFormat="1" x14ac:dyDescent="0.25"/>
    <row r="423" s="93" customFormat="1" x14ac:dyDescent="0.25"/>
    <row r="424" s="93" customFormat="1" x14ac:dyDescent="0.25"/>
    <row r="425" s="93" customFormat="1" x14ac:dyDescent="0.25"/>
    <row r="426" s="93" customFormat="1" x14ac:dyDescent="0.25"/>
    <row r="427" s="93" customFormat="1" x14ac:dyDescent="0.25"/>
    <row r="428" s="93" customFormat="1" x14ac:dyDescent="0.25"/>
    <row r="429" s="93" customFormat="1" x14ac:dyDescent="0.25"/>
    <row r="430" s="93" customFormat="1" x14ac:dyDescent="0.25"/>
    <row r="431" s="93" customFormat="1" x14ac:dyDescent="0.25"/>
    <row r="432" s="93" customFormat="1" x14ac:dyDescent="0.25"/>
    <row r="433" s="93" customFormat="1" x14ac:dyDescent="0.25"/>
  </sheetData>
  <mergeCells count="4">
    <mergeCell ref="B7:D7"/>
    <mergeCell ref="B8:D8"/>
    <mergeCell ref="B10:D10"/>
    <mergeCell ref="B19:D2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7D07-AF09-413D-9C60-444C1E566F91}">
  <sheetPr>
    <tabColor theme="1"/>
  </sheetPr>
  <dimension ref="A1:AW102"/>
  <sheetViews>
    <sheetView showGridLines="0" showRowColHeaders="0" zoomScale="70" zoomScaleNormal="70" workbookViewId="0">
      <selection activeCell="F93" sqref="F92:F9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cols>
    <col min="1" max="1" width="31.85546875" bestFit="1" customWidth="1"/>
    <col min="2" max="2" width="10.42578125" customWidth="1"/>
    <col min="3" max="3" width="14.85546875" bestFit="1" customWidth="1"/>
    <col min="4" max="4" width="15" bestFit="1" customWidth="1"/>
    <col min="5" max="5" width="15.140625" bestFit="1" customWidth="1"/>
    <col min="6" max="6" width="12.7109375" bestFit="1" customWidth="1"/>
    <col min="7" max="7" width="17.140625" customWidth="1"/>
    <col min="8" max="8" width="17.7109375" customWidth="1"/>
    <col min="9" max="9" width="14.85546875" bestFit="1" customWidth="1"/>
    <col min="10" max="10" width="14.85546875" customWidth="1"/>
    <col min="11" max="11" width="14.5703125" bestFit="1" customWidth="1"/>
    <col min="12" max="12" width="14.5703125" customWidth="1"/>
    <col min="13" max="13" width="14.28515625" bestFit="1" customWidth="1"/>
    <col min="14" max="14" width="14.28515625" customWidth="1"/>
    <col min="15" max="15" width="15.42578125" bestFit="1" customWidth="1"/>
    <col min="16" max="16" width="15.42578125" customWidth="1"/>
    <col min="17" max="17" width="15.7109375" bestFit="1" customWidth="1"/>
    <col min="18" max="18" width="15.7109375" customWidth="1"/>
    <col min="19" max="20" width="15" customWidth="1"/>
    <col min="21" max="21" width="14.5703125" bestFit="1" customWidth="1"/>
    <col min="22" max="22" width="14.5703125" customWidth="1"/>
    <col min="23" max="23" width="14.28515625" bestFit="1" customWidth="1"/>
    <col min="24" max="24" width="14.28515625" customWidth="1"/>
    <col min="25" max="25" width="14.42578125" bestFit="1" customWidth="1"/>
    <col min="26" max="26" width="14.42578125" customWidth="1"/>
    <col min="27" max="27" width="16.85546875" bestFit="1" customWidth="1"/>
    <col min="28" max="28" width="16.85546875" customWidth="1"/>
    <col min="29" max="29" width="16" bestFit="1" customWidth="1"/>
    <col min="30" max="30" width="16" customWidth="1"/>
    <col min="31" max="31" width="17.28515625" bestFit="1" customWidth="1"/>
    <col min="32" max="32" width="17.28515625" customWidth="1"/>
    <col min="33" max="33" width="17.28515625" bestFit="1" customWidth="1"/>
    <col min="34" max="34" width="17.28515625" customWidth="1"/>
    <col min="35" max="37" width="14.85546875" bestFit="1" customWidth="1"/>
    <col min="38" max="38" width="15.140625" bestFit="1" customWidth="1"/>
    <col min="39" max="39" width="19" bestFit="1" customWidth="1"/>
    <col min="40" max="40" width="19" customWidth="1"/>
    <col min="41" max="41" width="13.7109375" bestFit="1" customWidth="1"/>
    <col min="42" max="42" width="16.140625" bestFit="1" customWidth="1"/>
    <col min="43" max="43" width="16.5703125" bestFit="1" customWidth="1"/>
    <col min="44" max="44" width="15.42578125" bestFit="1" customWidth="1"/>
    <col min="45" max="45" width="15.7109375" bestFit="1" customWidth="1"/>
    <col min="46" max="46" width="15.42578125" bestFit="1" customWidth="1"/>
    <col min="47" max="47" width="15.85546875" bestFit="1" customWidth="1"/>
    <col min="48" max="48" width="10.5703125" bestFit="1" customWidth="1"/>
    <col min="49" max="49" width="13.7109375" bestFit="1" customWidth="1"/>
  </cols>
  <sheetData>
    <row r="1" spans="1:49" s="276" customFormat="1" ht="21" customHeight="1" x14ac:dyDescent="0.25">
      <c r="B1" s="489" t="s">
        <v>356</v>
      </c>
      <c r="C1" s="490"/>
      <c r="D1" s="490"/>
      <c r="E1" s="490"/>
      <c r="F1" s="490"/>
      <c r="G1" s="490"/>
      <c r="H1" s="491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6"/>
      <c r="AE1" s="492" t="s">
        <v>437</v>
      </c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4"/>
    </row>
    <row r="2" spans="1:49" s="275" customFormat="1" ht="45.75" thickBot="1" x14ac:dyDescent="0.3">
      <c r="A2" s="274" t="s">
        <v>134</v>
      </c>
      <c r="B2" s="274" t="s">
        <v>357</v>
      </c>
      <c r="C2" s="274" t="s">
        <v>136</v>
      </c>
      <c r="D2" s="274" t="s">
        <v>423</v>
      </c>
      <c r="E2" s="274" t="s">
        <v>359</v>
      </c>
      <c r="F2" s="274" t="s">
        <v>360</v>
      </c>
      <c r="G2" s="274" t="s">
        <v>361</v>
      </c>
      <c r="H2" s="274" t="s">
        <v>362</v>
      </c>
      <c r="I2" s="274" t="s">
        <v>365</v>
      </c>
      <c r="J2" s="274" t="s">
        <v>440</v>
      </c>
      <c r="K2" s="274" t="s">
        <v>366</v>
      </c>
      <c r="L2" s="274" t="s">
        <v>441</v>
      </c>
      <c r="M2" s="274" t="s">
        <v>367</v>
      </c>
      <c r="N2" s="274" t="s">
        <v>442</v>
      </c>
      <c r="O2" s="274" t="s">
        <v>368</v>
      </c>
      <c r="P2" s="274" t="s">
        <v>443</v>
      </c>
      <c r="Q2" s="274" t="s">
        <v>369</v>
      </c>
      <c r="R2" s="274" t="s">
        <v>431</v>
      </c>
      <c r="S2" s="274" t="s">
        <v>370</v>
      </c>
      <c r="T2" s="274" t="s">
        <v>444</v>
      </c>
      <c r="U2" s="274" t="s">
        <v>371</v>
      </c>
      <c r="V2" s="274" t="s">
        <v>432</v>
      </c>
      <c r="W2" s="274" t="s">
        <v>372</v>
      </c>
      <c r="X2" s="274" t="s">
        <v>433</v>
      </c>
      <c r="Y2" s="274" t="s">
        <v>373</v>
      </c>
      <c r="Z2" s="274" t="s">
        <v>434</v>
      </c>
      <c r="AA2" s="274" t="s">
        <v>424</v>
      </c>
      <c r="AB2" s="274" t="s">
        <v>435</v>
      </c>
      <c r="AC2" s="274" t="s">
        <v>375</v>
      </c>
      <c r="AD2" s="274" t="s">
        <v>436</v>
      </c>
      <c r="AE2" s="274" t="s">
        <v>377</v>
      </c>
      <c r="AF2" s="274" t="s">
        <v>438</v>
      </c>
      <c r="AG2" s="274" t="s">
        <v>378</v>
      </c>
      <c r="AH2" s="274" t="s">
        <v>439</v>
      </c>
      <c r="AI2" s="274" t="s">
        <v>379</v>
      </c>
      <c r="AJ2" s="274" t="s">
        <v>380</v>
      </c>
      <c r="AK2" s="274" t="s">
        <v>425</v>
      </c>
      <c r="AL2" s="274" t="s">
        <v>426</v>
      </c>
      <c r="AM2" s="274" t="s">
        <v>383</v>
      </c>
      <c r="AN2" s="274" t="s">
        <v>445</v>
      </c>
      <c r="AO2" s="274" t="s">
        <v>257</v>
      </c>
      <c r="AP2" s="274" t="s">
        <v>384</v>
      </c>
      <c r="AQ2" s="274" t="s">
        <v>385</v>
      </c>
      <c r="AR2" s="274" t="s">
        <v>386</v>
      </c>
      <c r="AS2" s="274" t="s">
        <v>261</v>
      </c>
      <c r="AT2" s="274" t="s">
        <v>387</v>
      </c>
      <c r="AU2" s="274" t="s">
        <v>388</v>
      </c>
      <c r="AV2" s="274" t="s">
        <v>389</v>
      </c>
      <c r="AW2" s="274" t="s">
        <v>390</v>
      </c>
    </row>
    <row r="3" spans="1:49" ht="16.5" thickTop="1" thickBot="1" x14ac:dyDescent="0.3">
      <c r="A3" s="277" t="str">
        <f>'🧾 Factura Comercial'!E5</f>
        <v>Case Transparente TPU iPhone 15</v>
      </c>
      <c r="B3" s="277" t="str">
        <f>'🧾 Factura Comercial'!F5</f>
        <v>Unid.</v>
      </c>
      <c r="C3" s="278">
        <f>'🧾 Factura Comercial'!G5</f>
        <v>480</v>
      </c>
      <c r="D3" s="279">
        <f>'🧾 Factura Comercial'!H5</f>
        <v>1.21</v>
      </c>
      <c r="E3" s="279">
        <f>'🧾 Factura Comercial'!I5</f>
        <v>580.79999999999995</v>
      </c>
      <c r="F3" s="280">
        <f>IF('🧾 Tributos Aduana'!$F$6=0,0,'🧾 Factura Comercial'!I5/'🧾 Tributos Aduana'!$F$6)</f>
        <v>4.0861812778603263E-2</v>
      </c>
      <c r="G3" s="281">
        <f>'🧾 Factura Comercial'!H5*'📋 Datos Generales'!$E$19</f>
        <v>4.5011999999999999</v>
      </c>
      <c r="H3" s="281">
        <f>TABLA_BASE[[#This Row],[FOB UNIT.
(S/.)]]*TABLA_BASE[[#This Row],[CANTIDAD
(unid.)]]</f>
        <v>2160.576</v>
      </c>
      <c r="I3" s="283">
        <f>IF('🧾 Tributos Aduana'!$F$6=0,0,'🧾 Tributos Aduana'!$F$17*('🧾 Factura Comercial'!H5/'🧾 Tributos Aduana'!$F$6))</f>
        <v>8.3936973749380875E-2</v>
      </c>
      <c r="J3" s="283">
        <f>TABLA_BASE[[#This Row],[ADV UNIT.
(US$)
⚠️COSTO]]*TABLA_BASE[[#This Row],[CANTIDAD
(unid.)]]</f>
        <v>40.289747399702819</v>
      </c>
      <c r="K3" s="282">
        <f>IF('🧾 Tributos Aduana'!$F$6=0,0,'🧾 Tributos Aduana'!$F$18*('🧾 Factura Comercial'!H5/'🧾 Tributos Aduana'!$F$6))</f>
        <v>2.9624814264487369E-2</v>
      </c>
      <c r="L3" s="283">
        <f>TABLA_BASE[[#This Row],[IPM UNIT.
(US$)
✅CF]]*TABLA_BASE[[#This Row],[CANTIDAD
(unid.)]]</f>
        <v>14.219910846953937</v>
      </c>
      <c r="M3" s="282">
        <f>IF('🧾 Tributos Aduana'!$F$6=0,0,'🧾 Tributos Aduana'!$F$19*('🧾 Factura Comercial'!H5/'🧾 Tributos Aduana'!$F$6))</f>
        <v>0.23733902922238731</v>
      </c>
      <c r="N3" s="283">
        <f>TABLA_BASE[[#This Row],[IGV UNIT.
(US$)
✅CF]]*TABLA_BASE[[#This Row],[CANTIDAD
(unid.)]]</f>
        <v>113.92273402674591</v>
      </c>
      <c r="O3" s="283">
        <f>IF('🧾 Tributos Aduana'!$F$6=0,0,'🧾 Tributos Aduana'!$F$23*('🧾 Factura Comercial'!H5/'🧾 Tributos Aduana'!$F$6))</f>
        <v>6.1258667657256065E-2</v>
      </c>
      <c r="P3" s="283">
        <f>TABLA_BASE[[#This Row],[PERCEP.
UNIT.(US$)
✅CF]]*TABLA_BASE[[#This Row],[CANTIDAD
(unid.)]]</f>
        <v>29.404160475482911</v>
      </c>
      <c r="Q3" s="282">
        <f>TABLA_BASE[[#This Row],[ADV UNIT.
(US$)
⚠️COSTO]]+TABLA_BASE[[#This Row],[IPM UNIT.
(US$)
✅CF]]+TABLA_BASE[[#This Row],[IGV UNIT.
(US$)
✅CF]]</f>
        <v>0.35090081723625555</v>
      </c>
      <c r="R3" s="283">
        <f>TABLA_BASE[[#This Row],[DEUDA
ADUANERA
UNIT.]]*TABLA_BASE[[#This Row],[CANTIDAD
(unid.)]]</f>
        <v>168.43239227340266</v>
      </c>
      <c r="S3" s="284">
        <f>TABLA_BASE[[#This Row],[ADV UNIT.
(US$)
⚠️COSTO]]*'📋 Datos Generales'!$E$19</f>
        <v>0.31224554234769686</v>
      </c>
      <c r="T3" s="284">
        <f>TABLA_BASE[[#This Row],[ADV UNIT.
(S/.)]]*TABLA_BASE[[#This Row],[CANTIDAD
(unid.)]]</f>
        <v>149.87786032689451</v>
      </c>
      <c r="U3" s="284">
        <f>TABLA_BASE[[#This Row],[IPM UNIT.
(US$)
✅CF]]*'📋 Datos Generales'!$E$19</f>
        <v>0.11020430906389302</v>
      </c>
      <c r="V3" s="284">
        <f>TABLA_BASE[[#This Row],[IPM UNIT.
(S/.)]]*TABLA_BASE[[#This Row],[CANTIDAD
(unid.)]]</f>
        <v>52.898068350668645</v>
      </c>
      <c r="W3" s="284">
        <f>TABLA_BASE[[#This Row],[IGV UNIT.
(US$)
✅CF]]*'📋 Datos Generales'!$E$19</f>
        <v>0.88290118870728085</v>
      </c>
      <c r="X3" s="284">
        <f>TABLA_BASE[[#This Row],[IGV UNIT.
(S/.)]]*TABLA_BASE[[#This Row],[CANTIDAD
(unid.)]]</f>
        <v>423.79257057949479</v>
      </c>
      <c r="Y3" s="284">
        <f>TABLA_BASE[[#This Row],[PERCEP.
UNIT.(US$)
✅CF]]*'📋 Datos Generales'!$E$19</f>
        <v>0.22788224368499257</v>
      </c>
      <c r="Z3" s="284">
        <f>TABLA_BASE[[#This Row],[PERCEP.
UNIT.(S/.)]]*TABLA_BASE[[#This Row],[CANTIDAD
(unid.)]]</f>
        <v>109.38347696879643</v>
      </c>
      <c r="AA3" s="282">
        <f>TABLA_BASE[[#This Row],[ADV UNIT.
(US$)
⚠️COSTO]]+TABLA_BASE[[#This Row],[IPM UNIT.
(US$)
✅CF]]+TABLA_BASE[[#This Row],[IGV UNIT.
(US$)
✅CF]]+TABLA_BASE[[#This Row],[PERCEP.
UNIT.(US$)
✅CF]]</f>
        <v>0.41215948489351162</v>
      </c>
      <c r="AB3" s="282">
        <f>TABLA_BASE[[#This Row],[TOTAL PAGO
SUNAT
UNIT.(US$)]]*TABLA_BASE[[#This Row],[CANTIDAD
(unid.)]]</f>
        <v>197.83655274888557</v>
      </c>
      <c r="AC3" s="284">
        <f>TABLA_BASE[[#This Row],[TOTAL PAGO
SUNAT
UNIT.(US$)]]*'📋 Datos Generales'!$E$19</f>
        <v>1.5332332838038634</v>
      </c>
      <c r="AD3" s="284">
        <f>TABLA_BASE[[#This Row],[TOTAL TRIB.
UNIT.(S/.)]]*TABLA_BASE[[#This Row],[CANTIDAD
(unid.)]]</f>
        <v>735.95197622585442</v>
      </c>
      <c r="AE3" s="282">
        <f>IF('🧾 Factura Comercial'!G5=0,0,'📦 Gastos Importación'!$E$28*(IF('🧾 Tributos Aduana'!$F$6=0,0,'🧾 Factura Comercial'!I5/'🧾 Tributos Aduana'!$F$6))/'🧾 Factura Comercial'!G5)</f>
        <v>1.5824392490094104</v>
      </c>
      <c r="AF3" s="282">
        <f>TABLA_BASE[[#This Row],[GASTOS IMP.
UNIT.(US$)]]*TABLA_BASE[[#This Row],[CANTIDAD
(unid.)]]</f>
        <v>759.57083952451694</v>
      </c>
      <c r="AG3" s="284">
        <f>TABLA_BASE[[#This Row],[GASTOS IMP.
UNIT.(US$)]]*'📋 Datos Generales'!$E$19</f>
        <v>5.8866740063150065</v>
      </c>
      <c r="AH3" s="284">
        <f>TABLA_BASE[[#This Row],[GASTOS IMP.
UNIT.(S/.)]]*TABLA_BASE[[#This Row],[CANTIDAD
(unid.)]]</f>
        <v>2825.6035230312032</v>
      </c>
      <c r="AI3" s="283">
        <f>'🧮 Costos x Producto'!J7</f>
        <v>1.5824392490094108</v>
      </c>
      <c r="AJ3" s="281">
        <f>'🧮 Costos x Producto'!K7</f>
        <v>5.8866740063150083</v>
      </c>
      <c r="AK3" s="282">
        <f>IF('🧾 Factura Comercial'!G5=0,0,'🧾 Tributos Aduana'!$F$17*(IF('🧾 Tributos Aduana'!$F$6=0,0,'🧾 Factura Comercial'!I5/'🧾 Tributos Aduana'!$F$6))/'🧾 Factura Comercial'!G5)</f>
        <v>8.3936973749380875E-2</v>
      </c>
      <c r="AL3" s="281">
        <f>IF('🧾 Factura Comercial'!G5=0,0,'🏦 Crédito Fiscal'!$C$16*(IF('🧾 Tributos Aduana'!$F$6=0,0,'🧾 Factura Comercial'!I5/'🧾 Tributos Aduana'!$F$6))/'🧾 Factura Comercial'!G5)</f>
        <v>0.34556084231054973</v>
      </c>
      <c r="AM3" s="281">
        <f>TABLA_BASE[[#This Row],[CF UNIT.
✅RECUP.
(US$)]]*'📋 Datos Generales'!$E$19</f>
        <v>1.2854863333952451</v>
      </c>
      <c r="AN3" s="281">
        <f>TABLA_BASE[[#This Row],[CF UNIT.
✅RECUP.(S/.)]]*TABLA_BASE[[#This Row],[CANTIDAD
(unid.)]]</f>
        <v>617.03344002971767</v>
      </c>
      <c r="AO3" s="298">
        <f>'💰 Precio de Venta'!G8</f>
        <v>0.4</v>
      </c>
      <c r="AP3" s="281">
        <f>'💰 Precio de Venta'!H8</f>
        <v>9.8111233438583483</v>
      </c>
      <c r="AQ3" s="284">
        <f>'💰 Precio de Venta'!I8</f>
        <v>11.57712554575285</v>
      </c>
      <c r="AR3" s="281">
        <f>'💰 Precio de Venta'!J8</f>
        <v>3.92444933754334</v>
      </c>
      <c r="AS3" s="300">
        <f>'💰 Precio de Venta'!K8</f>
        <v>66</v>
      </c>
      <c r="AT3" s="281">
        <f>TABLA_BASE[[#This Row],[GANANCIA
UNIT.(S/.)]]*'🧾 Factura Comercial'!G5</f>
        <v>1883.7356820208033</v>
      </c>
      <c r="AU3" s="280">
        <f>IF(TABLA_BASE[[#This Row],[PRECIO VTA.
c/IGV(S/.)]]=0,0,TABLA_BASE[[#This Row],[GANANCIA
UNIT.(S/.)]]/TABLA_BASE[[#This Row],[PRECIO VTA.
c/IGV(S/.)]])</f>
        <v>0.33898305084745772</v>
      </c>
      <c r="AV3" s="280">
        <f>IF(TABLA_BASE[[#This Row],[C/M UNIT.
(S/.)]]=0,0,TABLA_BASE[[#This Row],[GANANCIA
UNIT.(S/.)]]/TABLA_BASE[[#This Row],[C/M UNIT.
(S/.)]])</f>
        <v>0.66666666666666685</v>
      </c>
      <c r="AW3" s="277" t="str">
        <f>IF(TABLA_BASE[[#This Row],[MARGEN
%]]&gt;=0.5,"🟢 ALTO",IF(TABLA_BASE[[#This Row],[MARGEN
%]]&gt;=0.3,"🟡 MEDIO","🔴 BAJO"))</f>
        <v>🟡 MEDIO</v>
      </c>
    </row>
    <row r="4" spans="1:49" ht="16.5" thickTop="1" thickBot="1" x14ac:dyDescent="0.3">
      <c r="A4" s="277" t="str">
        <f>'🧾 Factura Comercial'!E6</f>
        <v>Cable USB-C Trenzado 1m</v>
      </c>
      <c r="B4" s="277" t="str">
        <f>'🧾 Factura Comercial'!F6</f>
        <v>Unid.</v>
      </c>
      <c r="C4" s="278">
        <f>'🧾 Factura Comercial'!G6</f>
        <v>2880</v>
      </c>
      <c r="D4" s="279">
        <f>'🧾 Factura Comercial'!H6</f>
        <v>0.68</v>
      </c>
      <c r="E4" s="279">
        <f>'🧾 Factura Comercial'!I6</f>
        <v>1958.4</v>
      </c>
      <c r="F4" s="280">
        <f>IF('🧾 Tributos Aduana'!$F$6=0,0,'🧾 Factura Comercial'!I6/'🧾 Tributos Aduana'!$F$6)</f>
        <v>0.13778198027826558</v>
      </c>
      <c r="G4" s="281">
        <f>'🧾 Factura Comercial'!H6*'📋 Datos Generales'!$E$19</f>
        <v>2.5296000000000003</v>
      </c>
      <c r="H4" s="281">
        <f>TABLA_BASE[[#This Row],[FOB UNIT.
(S/.)]]*TABLA_BASE[[#This Row],[CANTIDAD
(unid.)]]</f>
        <v>7285.2480000000005</v>
      </c>
      <c r="I4" s="283">
        <f>IF('🧾 Tributos Aduana'!$F$6=0,0,'🧾 Tributos Aduana'!$F$17*('🧾 Factura Comercial'!H6/'🧾 Tributos Aduana'!$F$6))</f>
        <v>4.7171191859156199E-2</v>
      </c>
      <c r="J4" s="283">
        <f>TABLA_BASE[[#This Row],[ADV UNIT.
(US$)
⚠️COSTO]]*TABLA_BASE[[#This Row],[CANTIDAD
(unid.)]]</f>
        <v>135.85303255436986</v>
      </c>
      <c r="K4" s="282">
        <f>IF('🧾 Tributos Aduana'!$F$6=0,0,'🧾 Tributos Aduana'!$F$18*('🧾 Factura Comercial'!H6/'🧾 Tributos Aduana'!$F$6))</f>
        <v>1.6648655950290425E-2</v>
      </c>
      <c r="L4" s="283">
        <f>TABLA_BASE[[#This Row],[IPM UNIT.
(US$)
✅CF]]*TABLA_BASE[[#This Row],[CANTIDAD
(unid.)]]</f>
        <v>47.948129136836421</v>
      </c>
      <c r="M4" s="282">
        <f>IF('🧾 Tributos Aduana'!$F$6=0,0,'🧾 Tributos Aduana'!$F$19*('🧾 Factura Comercial'!H6/'🧾 Tributos Aduana'!$F$6))</f>
        <v>0.13338061146382096</v>
      </c>
      <c r="N4" s="283">
        <f>TABLA_BASE[[#This Row],[IGV UNIT.
(US$)
✅CF]]*TABLA_BASE[[#This Row],[CANTIDAD
(unid.)]]</f>
        <v>384.13616101580436</v>
      </c>
      <c r="O4" s="283">
        <f>IF('🧾 Tributos Aduana'!$F$6=0,0,'🧾 Tributos Aduana'!$F$23*('🧾 Factura Comercial'!H6/'🧾 Tributos Aduana'!$F$6))</f>
        <v>3.4426358683416633E-2</v>
      </c>
      <c r="P4" s="283">
        <f>TABLA_BASE[[#This Row],[PERCEP.
UNIT.(US$)
✅CF]]*TABLA_BASE[[#This Row],[CANTIDAD
(unid.)]]</f>
        <v>99.147913008239897</v>
      </c>
      <c r="Q4" s="282">
        <f>TABLA_BASE[[#This Row],[ADV UNIT.
(US$)
⚠️COSTO]]+TABLA_BASE[[#This Row],[IPM UNIT.
(US$)
✅CF]]+TABLA_BASE[[#This Row],[IGV UNIT.
(US$)
✅CF]]</f>
        <v>0.19720045927326757</v>
      </c>
      <c r="R4" s="283">
        <f>TABLA_BASE[[#This Row],[DEUDA
ADUANERA
UNIT.]]*TABLA_BASE[[#This Row],[CANTIDAD
(unid.)]]</f>
        <v>567.93732270701059</v>
      </c>
      <c r="S4" s="284">
        <f>TABLA_BASE[[#This Row],[ADV UNIT.
(US$)
⚠️COSTO]]*'📋 Datos Generales'!$E$19</f>
        <v>0.17547683371606107</v>
      </c>
      <c r="T4" s="284">
        <f>TABLA_BASE[[#This Row],[ADV UNIT.
(S/.)]]*TABLA_BASE[[#This Row],[CANTIDAD
(unid.)]]</f>
        <v>505.37328110225587</v>
      </c>
      <c r="U4" s="284">
        <f>TABLA_BASE[[#This Row],[IPM UNIT.
(US$)
✅CF]]*'📋 Datos Generales'!$E$19</f>
        <v>6.1933000135080379E-2</v>
      </c>
      <c r="V4" s="284">
        <f>TABLA_BASE[[#This Row],[IPM UNIT.
(S/.)]]*TABLA_BASE[[#This Row],[CANTIDAD
(unid.)]]</f>
        <v>178.3670403890315</v>
      </c>
      <c r="W4" s="284">
        <f>TABLA_BASE[[#This Row],[IGV UNIT.
(US$)
✅CF]]*'📋 Datos Generales'!$E$19</f>
        <v>0.49617587464541402</v>
      </c>
      <c r="X4" s="284">
        <f>TABLA_BASE[[#This Row],[IGV UNIT.
(S/.)]]*TABLA_BASE[[#This Row],[CANTIDAD
(unid.)]]</f>
        <v>1428.9865189787924</v>
      </c>
      <c r="Y4" s="284">
        <f>TABLA_BASE[[#This Row],[PERCEP.
UNIT.(US$)
✅CF]]*'📋 Datos Generales'!$E$19</f>
        <v>0.12806605430230988</v>
      </c>
      <c r="Z4" s="284">
        <f>TABLA_BASE[[#This Row],[PERCEP.
UNIT.(S/.)]]*TABLA_BASE[[#This Row],[CANTIDAD
(unid.)]]</f>
        <v>368.83023639065249</v>
      </c>
      <c r="AA4" s="282">
        <f>TABLA_BASE[[#This Row],[ADV UNIT.
(US$)
⚠️COSTO]]+TABLA_BASE[[#This Row],[IPM UNIT.
(US$)
✅CF]]+TABLA_BASE[[#This Row],[IGV UNIT.
(US$)
✅CF]]+TABLA_BASE[[#This Row],[PERCEP.
UNIT.(US$)
✅CF]]</f>
        <v>0.23162681795668422</v>
      </c>
      <c r="AB4" s="282">
        <f>TABLA_BASE[[#This Row],[TOTAL PAGO
SUNAT
UNIT.(US$)]]*TABLA_BASE[[#This Row],[CANTIDAD
(unid.)]]</f>
        <v>667.08523571525052</v>
      </c>
      <c r="AC4" s="284">
        <f>TABLA_BASE[[#This Row],[TOTAL PAGO
SUNAT
UNIT.(US$)]]*'📋 Datos Generales'!$E$19</f>
        <v>0.86165176279886535</v>
      </c>
      <c r="AD4" s="284">
        <f>TABLA_BASE[[#This Row],[TOTAL TRIB.
UNIT.(S/.)]]*TABLA_BASE[[#This Row],[CANTIDAD
(unid.)]]</f>
        <v>2481.5570768607322</v>
      </c>
      <c r="AE4" s="282">
        <f>IF('🧾 Factura Comercial'!G6=0,0,'📦 Gastos Importación'!$E$28*(IF('🧾 Tributos Aduana'!$F$6=0,0,'🧾 Factura Comercial'!I6/'🧾 Tributos Aduana'!$F$6))/'🧾 Factura Comercial'!G6)</f>
        <v>0.8893047019226441</v>
      </c>
      <c r="AF4" s="282">
        <f>TABLA_BASE[[#This Row],[GASTOS IMP.
UNIT.(US$)]]*TABLA_BASE[[#This Row],[CANTIDAD
(unid.)]]</f>
        <v>2561.1975415372149</v>
      </c>
      <c r="AG4" s="284">
        <f>TABLA_BASE[[#This Row],[GASTOS IMP.
UNIT.(US$)]]*'📋 Datos Generales'!$E$19</f>
        <v>3.3082134911522361</v>
      </c>
      <c r="AH4" s="284">
        <f>TABLA_BASE[[#This Row],[GASTOS IMP.
UNIT.(S/.)]]*TABLA_BASE[[#This Row],[CANTIDAD
(unid.)]]</f>
        <v>9527.6548545184396</v>
      </c>
      <c r="AI4" s="283">
        <f>'🧮 Costos x Producto'!J8</f>
        <v>0.8893047019226441</v>
      </c>
      <c r="AJ4" s="281">
        <f>'🧮 Costos x Producto'!K8</f>
        <v>3.3082134911522361</v>
      </c>
      <c r="AK4" s="282">
        <f>IF('🧾 Factura Comercial'!G6=0,0,'🧾 Tributos Aduana'!$F$17*(IF('🧾 Tributos Aduana'!$F$6=0,0,'🧾 Factura Comercial'!I6/'🧾 Tributos Aduana'!$F$6))/'🧾 Factura Comercial'!G6)</f>
        <v>4.7171191859156199E-2</v>
      </c>
      <c r="AL4" s="281">
        <f>IF('🧾 Factura Comercial'!G6=0,0,'🏦 Crédito Fiscal'!$C$16*(IF('🧾 Tributos Aduana'!$F$6=0,0,'🧾 Factura Comercial'!I6/'🧾 Tributos Aduana'!$F$6))/'🧾 Factura Comercial'!G6)</f>
        <v>0.19419948162906933</v>
      </c>
      <c r="AM4" s="281">
        <f>TABLA_BASE[[#This Row],[CF UNIT.
✅RECUP.
(US$)]]*'📋 Datos Generales'!$E$19</f>
        <v>0.72242207166013794</v>
      </c>
      <c r="AN4" s="281">
        <f>TABLA_BASE[[#This Row],[CF UNIT.
✅RECUP.(S/.)]]*TABLA_BASE[[#This Row],[CANTIDAD
(unid.)]]</f>
        <v>2080.5755663811974</v>
      </c>
      <c r="AO4" s="298">
        <f>'💰 Precio de Venta'!G9</f>
        <v>0.4</v>
      </c>
      <c r="AP4" s="281">
        <f>'💰 Precio de Venta'!H9</f>
        <v>5.5136891519203939</v>
      </c>
      <c r="AQ4" s="284">
        <f>'💰 Precio de Venta'!I9</f>
        <v>6.5061531992660644</v>
      </c>
      <c r="AR4" s="281">
        <f>'💰 Precio de Venta'!J9</f>
        <v>2.2054756607681578</v>
      </c>
      <c r="AS4" s="300">
        <f>'💰 Precio de Venta'!K9</f>
        <v>394</v>
      </c>
      <c r="AT4" s="281">
        <f>TABLA_BASE[[#This Row],[GANANCIA
UNIT.(S/.)]]*'🧾 Factura Comercial'!G6</f>
        <v>6351.7699030122949</v>
      </c>
      <c r="AU4" s="280">
        <f>IF(TABLA_BASE[[#This Row],[PRECIO VTA.
c/IGV(S/.)]]=0,0,TABLA_BASE[[#This Row],[GANANCIA
UNIT.(S/.)]]/TABLA_BASE[[#This Row],[PRECIO VTA.
c/IGV(S/.)]])</f>
        <v>0.33898305084745767</v>
      </c>
      <c r="AV4" s="280">
        <f>IF(TABLA_BASE[[#This Row],[C/M UNIT.
(S/.)]]=0,0,TABLA_BASE[[#This Row],[GANANCIA
UNIT.(S/.)]]/TABLA_BASE[[#This Row],[C/M UNIT.
(S/.)]])</f>
        <v>0.66666666666666685</v>
      </c>
      <c r="AW4" s="277" t="str">
        <f>IF(TABLA_BASE[[#This Row],[MARGEN
%]]&gt;=0.5,"🟢 ALTO",IF(TABLA_BASE[[#This Row],[MARGEN
%]]&gt;=0.3,"🟡 MEDIO","🔴 BAJO"))</f>
        <v>🟡 MEDIO</v>
      </c>
    </row>
    <row r="5" spans="1:49" ht="16.5" thickTop="1" thickBot="1" x14ac:dyDescent="0.3">
      <c r="A5" s="277" t="str">
        <f>'🧾 Factura Comercial'!E7</f>
        <v>Protector Pantalla Vidrio Templado</v>
      </c>
      <c r="B5" s="277" t="str">
        <f>'🧾 Factura Comercial'!F7</f>
        <v>Unid.</v>
      </c>
      <c r="C5" s="278">
        <f>'🧾 Factura Comercial'!G7</f>
        <v>2880</v>
      </c>
      <c r="D5" s="279">
        <f>'🧾 Factura Comercial'!H7</f>
        <v>0.4</v>
      </c>
      <c r="E5" s="279">
        <f>'🧾 Factura Comercial'!I7</f>
        <v>1152</v>
      </c>
      <c r="F5" s="280">
        <f>IF('🧾 Tributos Aduana'!$F$6=0,0,'🧾 Factura Comercial'!I7/'🧾 Tributos Aduana'!$F$6)</f>
        <v>8.1048223693097388E-2</v>
      </c>
      <c r="G5" s="281">
        <f>'🧾 Factura Comercial'!H7*'📋 Datos Generales'!$E$19</f>
        <v>1.4880000000000002</v>
      </c>
      <c r="H5" s="281">
        <f>TABLA_BASE[[#This Row],[FOB UNIT.
(S/.)]]*TABLA_BASE[[#This Row],[CANTIDAD
(unid.)]]</f>
        <v>4285.4400000000005</v>
      </c>
      <c r="I5" s="283">
        <f>IF('🧾 Tributos Aduana'!$F$6=0,0,'🧾 Tributos Aduana'!$F$17*('🧾 Factura Comercial'!H7/'🧾 Tributos Aduana'!$F$6))</f>
        <v>2.7747759917150706E-2</v>
      </c>
      <c r="J5" s="283">
        <f>TABLA_BASE[[#This Row],[ADV UNIT.
(US$)
⚠️COSTO]]*TABLA_BASE[[#This Row],[CANTIDAD
(unid.)]]</f>
        <v>79.913548561394038</v>
      </c>
      <c r="K5" s="282">
        <f>IF('🧾 Tributos Aduana'!$F$6=0,0,'🧾 Tributos Aduana'!$F$18*('🧾 Factura Comercial'!H7/'🧾 Tributos Aduana'!$F$6))</f>
        <v>9.793327029582603E-3</v>
      </c>
      <c r="L5" s="283">
        <f>TABLA_BASE[[#This Row],[IPM UNIT.
(US$)
✅CF]]*TABLA_BASE[[#This Row],[CANTIDAD
(unid.)]]</f>
        <v>28.204781845197896</v>
      </c>
      <c r="M5" s="282">
        <f>IF('🧾 Tributos Aduana'!$F$6=0,0,'🧾 Tributos Aduana'!$F$19*('🧾 Factura Comercial'!H7/'🧾 Tributos Aduana'!$F$6))</f>
        <v>7.8459183214012351E-2</v>
      </c>
      <c r="N5" s="283">
        <f>TABLA_BASE[[#This Row],[IGV UNIT.
(US$)
✅CF]]*TABLA_BASE[[#This Row],[CANTIDAD
(unid.)]]</f>
        <v>225.96244765635558</v>
      </c>
      <c r="O5" s="283">
        <f>IF('🧾 Tributos Aduana'!$F$6=0,0,'🧾 Tributos Aduana'!$F$23*('🧾 Factura Comercial'!H7/'🧾 Tributos Aduana'!$F$6))</f>
        <v>2.0250799225539198E-2</v>
      </c>
      <c r="P5" s="283">
        <f>TABLA_BASE[[#This Row],[PERCEP.
UNIT.(US$)
✅CF]]*TABLA_BASE[[#This Row],[CANTIDAD
(unid.)]]</f>
        <v>58.322301769552894</v>
      </c>
      <c r="Q5" s="282">
        <f>TABLA_BASE[[#This Row],[ADV UNIT.
(US$)
⚠️COSTO]]+TABLA_BASE[[#This Row],[IPM UNIT.
(US$)
✅CF]]+TABLA_BASE[[#This Row],[IGV UNIT.
(US$)
✅CF]]</f>
        <v>0.11600027016074566</v>
      </c>
      <c r="R5" s="283">
        <f>TABLA_BASE[[#This Row],[DEUDA
ADUANERA
UNIT.]]*TABLA_BASE[[#This Row],[CANTIDAD
(unid.)]]</f>
        <v>334.0807780629475</v>
      </c>
      <c r="S5" s="284">
        <f>TABLA_BASE[[#This Row],[ADV UNIT.
(US$)
⚠️COSTO]]*'📋 Datos Generales'!$E$19</f>
        <v>0.10322166689180064</v>
      </c>
      <c r="T5" s="284">
        <f>TABLA_BASE[[#This Row],[ADV UNIT.
(S/.)]]*TABLA_BASE[[#This Row],[CANTIDAD
(unid.)]]</f>
        <v>297.27840064838585</v>
      </c>
      <c r="U5" s="284">
        <f>TABLA_BASE[[#This Row],[IPM UNIT.
(US$)
✅CF]]*'📋 Datos Generales'!$E$19</f>
        <v>3.6431176550047288E-2</v>
      </c>
      <c r="V5" s="284">
        <f>TABLA_BASE[[#This Row],[IPM UNIT.
(S/.)]]*TABLA_BASE[[#This Row],[CANTIDAD
(unid.)]]</f>
        <v>104.92178846413618</v>
      </c>
      <c r="W5" s="284">
        <f>TABLA_BASE[[#This Row],[IGV UNIT.
(US$)
✅CF]]*'📋 Datos Generales'!$E$19</f>
        <v>0.29186816155612594</v>
      </c>
      <c r="X5" s="284">
        <f>TABLA_BASE[[#This Row],[IGV UNIT.
(S/.)]]*TABLA_BASE[[#This Row],[CANTIDAD
(unid.)]]</f>
        <v>840.58030528164272</v>
      </c>
      <c r="Y5" s="284">
        <f>TABLA_BASE[[#This Row],[PERCEP.
UNIT.(US$)
✅CF]]*'📋 Datos Generales'!$E$19</f>
        <v>7.5332973119005817E-2</v>
      </c>
      <c r="Z5" s="284">
        <f>TABLA_BASE[[#This Row],[PERCEP.
UNIT.(S/.)]]*TABLA_BASE[[#This Row],[CANTIDAD
(unid.)]]</f>
        <v>216.95896258273675</v>
      </c>
      <c r="AA5" s="282">
        <f>TABLA_BASE[[#This Row],[ADV UNIT.
(US$)
⚠️COSTO]]+TABLA_BASE[[#This Row],[IPM UNIT.
(US$)
✅CF]]+TABLA_BASE[[#This Row],[IGV UNIT.
(US$)
✅CF]]+TABLA_BASE[[#This Row],[PERCEP.
UNIT.(US$)
✅CF]]</f>
        <v>0.13625106938628484</v>
      </c>
      <c r="AB5" s="282">
        <f>TABLA_BASE[[#This Row],[TOTAL PAGO
SUNAT
UNIT.(US$)]]*TABLA_BASE[[#This Row],[CANTIDAD
(unid.)]]</f>
        <v>392.40307983250034</v>
      </c>
      <c r="AC5" s="284">
        <f>TABLA_BASE[[#This Row],[TOTAL PAGO
SUNAT
UNIT.(US$)]]*'📋 Datos Generales'!$E$19</f>
        <v>0.50685397811697963</v>
      </c>
      <c r="AD5" s="284">
        <f>TABLA_BASE[[#This Row],[TOTAL TRIB.
UNIT.(S/.)]]*TABLA_BASE[[#This Row],[CANTIDAD
(unid.)]]</f>
        <v>1459.7394569769012</v>
      </c>
      <c r="AE5" s="282">
        <f>IF('🧾 Factura Comercial'!G7=0,0,'📦 Gastos Importación'!$E$28*(IF('🧾 Tributos Aduana'!$F$6=0,0,'🧾 Factura Comercial'!I7/'🧾 Tributos Aduana'!$F$6))/'🧾 Factura Comercial'!G7)</f>
        <v>0.5231204128956729</v>
      </c>
      <c r="AF5" s="282">
        <f>TABLA_BASE[[#This Row],[GASTOS IMP.
UNIT.(US$)]]*TABLA_BASE[[#This Row],[CANTIDAD
(unid.)]]</f>
        <v>1506.586789139538</v>
      </c>
      <c r="AG5" s="284">
        <f>TABLA_BASE[[#This Row],[GASTOS IMP.
UNIT.(US$)]]*'📋 Datos Generales'!$E$19</f>
        <v>1.9460079359719034</v>
      </c>
      <c r="AH5" s="284">
        <f>TABLA_BASE[[#This Row],[GASTOS IMP.
UNIT.(S/.)]]*TABLA_BASE[[#This Row],[CANTIDAD
(unid.)]]</f>
        <v>5604.5028555990821</v>
      </c>
      <c r="AI5" s="283">
        <f>'🧮 Costos x Producto'!J9</f>
        <v>0.52312041289567301</v>
      </c>
      <c r="AJ5" s="281">
        <f>'🧮 Costos x Producto'!K9</f>
        <v>1.9460079359719038</v>
      </c>
      <c r="AK5" s="282">
        <f>IF('🧾 Factura Comercial'!G7=0,0,'🧾 Tributos Aduana'!$F$17*(IF('🧾 Tributos Aduana'!$F$6=0,0,'🧾 Factura Comercial'!I7/'🧾 Tributos Aduana'!$F$6))/'🧾 Factura Comercial'!G7)</f>
        <v>2.7747759917150703E-2</v>
      </c>
      <c r="AL5" s="281">
        <f>IF('🧾 Factura Comercial'!G7=0,0,'🏦 Crédito Fiscal'!$C$16*(IF('🧾 Tributos Aduana'!$F$6=0,0,'🧾 Factura Comercial'!I7/'🧾 Tributos Aduana'!$F$6))/'🧾 Factura Comercial'!G7)</f>
        <v>0.11423498919357016</v>
      </c>
      <c r="AM5" s="281">
        <f>TABLA_BASE[[#This Row],[CF UNIT.
✅RECUP.
(US$)]]*'📋 Datos Generales'!$E$19</f>
        <v>0.424954159800081</v>
      </c>
      <c r="AN5" s="281">
        <f>TABLA_BASE[[#This Row],[CF UNIT.
✅RECUP.(S/.)]]*TABLA_BASE[[#This Row],[CANTIDAD
(unid.)]]</f>
        <v>1223.8679802242332</v>
      </c>
      <c r="AO5" s="298">
        <f>'💰 Precio de Venta'!G10</f>
        <v>0.4</v>
      </c>
      <c r="AP5" s="281">
        <f>'💰 Precio de Venta'!H10</f>
        <v>3.243346559953173</v>
      </c>
      <c r="AQ5" s="284">
        <f>'💰 Precio de Venta'!I10</f>
        <v>3.8271489407447441</v>
      </c>
      <c r="AR5" s="281">
        <f>'💰 Precio de Venta'!J10</f>
        <v>1.2973386239812692</v>
      </c>
      <c r="AS5" s="300">
        <f>'💰 Precio de Venta'!K10</f>
        <v>394</v>
      </c>
      <c r="AT5" s="281">
        <f>TABLA_BASE[[#This Row],[GANANCIA
UNIT.(S/.)]]*'🧾 Factura Comercial'!G7</f>
        <v>3736.3352370660555</v>
      </c>
      <c r="AU5" s="280">
        <f>IF(TABLA_BASE[[#This Row],[PRECIO VTA.
c/IGV(S/.)]]=0,0,TABLA_BASE[[#This Row],[GANANCIA
UNIT.(S/.)]]/TABLA_BASE[[#This Row],[PRECIO VTA.
c/IGV(S/.)]])</f>
        <v>0.33898305084745761</v>
      </c>
      <c r="AV5" s="280">
        <f>IF(TABLA_BASE[[#This Row],[C/M UNIT.
(S/.)]]=0,0,TABLA_BASE[[#This Row],[GANANCIA
UNIT.(S/.)]]/TABLA_BASE[[#This Row],[C/M UNIT.
(S/.)]])</f>
        <v>0.66666666666666663</v>
      </c>
      <c r="AW5" s="277" t="str">
        <f>IF(TABLA_BASE[[#This Row],[MARGEN
%]]&gt;=0.5,"🟢 ALTO",IF(TABLA_BASE[[#This Row],[MARGEN
%]]&gt;=0.3,"🟡 MEDIO","🔴 BAJO"))</f>
        <v>🟡 MEDIO</v>
      </c>
    </row>
    <row r="6" spans="1:49" ht="16.5" thickTop="1" thickBot="1" x14ac:dyDescent="0.3">
      <c r="A6" s="277" t="str">
        <f>'🧾 Factura Comercial'!E8</f>
        <v>Audífonos In-Ear con Micrófono</v>
      </c>
      <c r="B6" s="277" t="str">
        <f>'🧾 Factura Comercial'!F8</f>
        <v>Unid.</v>
      </c>
      <c r="C6" s="278">
        <f>'🧾 Factura Comercial'!G8</f>
        <v>10224</v>
      </c>
      <c r="D6" s="279">
        <f>'🧾 Factura Comercial'!H8</f>
        <v>0.34</v>
      </c>
      <c r="E6" s="279">
        <f>'🧾 Factura Comercial'!I8</f>
        <v>3476.1600000000003</v>
      </c>
      <c r="F6" s="280">
        <f>IF('🧾 Tributos Aduana'!$F$6=0,0,'🧾 Factura Comercial'!I8/'🧾 Tributos Aduana'!$F$6)</f>
        <v>0.24456301499392141</v>
      </c>
      <c r="G6" s="281">
        <f>'🧾 Factura Comercial'!H8*'📋 Datos Generales'!$E$19</f>
        <v>1.2648000000000001</v>
      </c>
      <c r="H6" s="281">
        <f>TABLA_BASE[[#This Row],[FOB UNIT.
(S/.)]]*TABLA_BASE[[#This Row],[CANTIDAD
(unid.)]]</f>
        <v>12931.315200000001</v>
      </c>
      <c r="I6" s="283">
        <f>IF('🧾 Tributos Aduana'!$F$6=0,0,'🧾 Tributos Aduana'!$F$17*('🧾 Factura Comercial'!H8/'🧾 Tributos Aduana'!$F$6))</f>
        <v>2.3585595929578099E-2</v>
      </c>
      <c r="J6" s="283">
        <f>TABLA_BASE[[#This Row],[ADV UNIT.
(US$)
⚠️COSTO]]*TABLA_BASE[[#This Row],[CANTIDAD
(unid.)]]</f>
        <v>241.13913278400648</v>
      </c>
      <c r="K6" s="282">
        <f>IF('🧾 Tributos Aduana'!$F$6=0,0,'🧾 Tributos Aduana'!$F$18*('🧾 Factura Comercial'!H8/'🧾 Tributos Aduana'!$F$6))</f>
        <v>8.3243279751452123E-3</v>
      </c>
      <c r="L6" s="283">
        <f>TABLA_BASE[[#This Row],[IPM UNIT.
(US$)
✅CF]]*TABLA_BASE[[#This Row],[CANTIDAD
(unid.)]]</f>
        <v>85.107929217884646</v>
      </c>
      <c r="M6" s="282">
        <f>IF('🧾 Tributos Aduana'!$F$6=0,0,'🧾 Tributos Aduana'!$F$19*('🧾 Factura Comercial'!H8/'🧾 Tributos Aduana'!$F$6))</f>
        <v>6.6690305731910482E-2</v>
      </c>
      <c r="N6" s="283">
        <f>TABLA_BASE[[#This Row],[IGV UNIT.
(US$)
✅CF]]*TABLA_BASE[[#This Row],[CANTIDAD
(unid.)]]</f>
        <v>681.84168580305277</v>
      </c>
      <c r="O6" s="283">
        <f>IF('🧾 Tributos Aduana'!$F$6=0,0,'🧾 Tributos Aduana'!$F$23*('🧾 Factura Comercial'!H8/'🧾 Tributos Aduana'!$F$6))</f>
        <v>1.7213179341708316E-2</v>
      </c>
      <c r="P6" s="283">
        <f>TABLA_BASE[[#This Row],[PERCEP.
UNIT.(US$)
✅CF]]*TABLA_BASE[[#This Row],[CANTIDAD
(unid.)]]</f>
        <v>175.98754558962582</v>
      </c>
      <c r="Q6" s="282">
        <f>TABLA_BASE[[#This Row],[ADV UNIT.
(US$)
⚠️COSTO]]+TABLA_BASE[[#This Row],[IPM UNIT.
(US$)
✅CF]]+TABLA_BASE[[#This Row],[IGV UNIT.
(US$)
✅CF]]</f>
        <v>9.8600229636633785E-2</v>
      </c>
      <c r="R6" s="283">
        <f>TABLA_BASE[[#This Row],[DEUDA
ADUANERA
UNIT.]]*TABLA_BASE[[#This Row],[CANTIDAD
(unid.)]]</f>
        <v>1008.0887478049439</v>
      </c>
      <c r="S6" s="284">
        <f>TABLA_BASE[[#This Row],[ADV UNIT.
(US$)
⚠️COSTO]]*'📋 Datos Generales'!$E$19</f>
        <v>8.7738416858030535E-2</v>
      </c>
      <c r="T6" s="284">
        <f>TABLA_BASE[[#This Row],[ADV UNIT.
(S/.)]]*TABLA_BASE[[#This Row],[CANTIDAD
(unid.)]]</f>
        <v>897.03757395650416</v>
      </c>
      <c r="U6" s="284">
        <f>TABLA_BASE[[#This Row],[IPM UNIT.
(US$)
✅CF]]*'📋 Datos Generales'!$E$19</f>
        <v>3.096650006754019E-2</v>
      </c>
      <c r="V6" s="284">
        <f>TABLA_BASE[[#This Row],[IPM UNIT.
(S/.)]]*TABLA_BASE[[#This Row],[CANTIDAD
(unid.)]]</f>
        <v>316.60149669053089</v>
      </c>
      <c r="W6" s="284">
        <f>TABLA_BASE[[#This Row],[IGV UNIT.
(US$)
✅CF]]*'📋 Datos Generales'!$E$19</f>
        <v>0.24808793732270701</v>
      </c>
      <c r="X6" s="284">
        <f>TABLA_BASE[[#This Row],[IGV UNIT.
(S/.)]]*TABLA_BASE[[#This Row],[CANTIDAD
(unid.)]]</f>
        <v>2536.4510711873563</v>
      </c>
      <c r="Y6" s="284">
        <f>TABLA_BASE[[#This Row],[PERCEP.
UNIT.(US$)
✅CF]]*'📋 Datos Generales'!$E$19</f>
        <v>6.4033027151154942E-2</v>
      </c>
      <c r="Z6" s="284">
        <f>TABLA_BASE[[#This Row],[PERCEP.
UNIT.(S/.)]]*TABLA_BASE[[#This Row],[CANTIDAD
(unid.)]]</f>
        <v>654.67366959340814</v>
      </c>
      <c r="AA6" s="282">
        <f>TABLA_BASE[[#This Row],[ADV UNIT.
(US$)
⚠️COSTO]]+TABLA_BASE[[#This Row],[IPM UNIT.
(US$)
✅CF]]+TABLA_BASE[[#This Row],[IGV UNIT.
(US$)
✅CF]]+TABLA_BASE[[#This Row],[PERCEP.
UNIT.(US$)
✅CF]]</f>
        <v>0.11581340897834211</v>
      </c>
      <c r="AB6" s="282">
        <f>TABLA_BASE[[#This Row],[TOTAL PAGO
SUNAT
UNIT.(US$)]]*TABLA_BASE[[#This Row],[CANTIDAD
(unid.)]]</f>
        <v>1184.0762933945698</v>
      </c>
      <c r="AC6" s="284">
        <f>TABLA_BASE[[#This Row],[TOTAL PAGO
SUNAT
UNIT.(US$)]]*'📋 Datos Generales'!$E$19</f>
        <v>0.43082588139943268</v>
      </c>
      <c r="AD6" s="284">
        <f>TABLA_BASE[[#This Row],[TOTAL TRIB.
UNIT.(S/.)]]*TABLA_BASE[[#This Row],[CANTIDAD
(unid.)]]</f>
        <v>4404.7638114277997</v>
      </c>
      <c r="AE6" s="282">
        <f>IF('🧾 Factura Comercial'!G8=0,0,'📦 Gastos Importación'!$E$28*(IF('🧾 Tributos Aduana'!$F$6=0,0,'🧾 Factura Comercial'!I8/'🧾 Tributos Aduana'!$F$6))/'🧾 Factura Comercial'!G8)</f>
        <v>0.44465235096132205</v>
      </c>
      <c r="AF6" s="282">
        <f>TABLA_BASE[[#This Row],[GASTOS IMP.
UNIT.(US$)]]*TABLA_BASE[[#This Row],[CANTIDAD
(unid.)]]</f>
        <v>4546.1256362285567</v>
      </c>
      <c r="AG6" s="284">
        <f>TABLA_BASE[[#This Row],[GASTOS IMP.
UNIT.(US$)]]*'📋 Datos Generales'!$E$19</f>
        <v>1.654106745576118</v>
      </c>
      <c r="AH6" s="284">
        <f>TABLA_BASE[[#This Row],[GASTOS IMP.
UNIT.(S/.)]]*TABLA_BASE[[#This Row],[CANTIDAD
(unid.)]]</f>
        <v>16911.587366770229</v>
      </c>
      <c r="AI6" s="283">
        <f>'🧮 Costos x Producto'!J10</f>
        <v>0.44465235096132205</v>
      </c>
      <c r="AJ6" s="281">
        <f>'🧮 Costos x Producto'!K10</f>
        <v>1.654106745576118</v>
      </c>
      <c r="AK6" s="282">
        <f>IF('🧾 Factura Comercial'!G8=0,0,'🧾 Tributos Aduana'!$F$17*(IF('🧾 Tributos Aduana'!$F$6=0,0,'🧾 Factura Comercial'!I8/'🧾 Tributos Aduana'!$F$6))/'🧾 Factura Comercial'!G8)</f>
        <v>2.3585595929578103E-2</v>
      </c>
      <c r="AL6" s="281">
        <f>IF('🧾 Factura Comercial'!G8=0,0,'🏦 Crédito Fiscal'!$C$16*(IF('🧾 Tributos Aduana'!$F$6=0,0,'🧾 Factura Comercial'!I8/'🧾 Tributos Aduana'!$F$6))/'🧾 Factura Comercial'!G8)</f>
        <v>9.7099740814534666E-2</v>
      </c>
      <c r="AM6" s="281">
        <f>TABLA_BASE[[#This Row],[CF UNIT.
✅RECUP.
(US$)]]*'📋 Datos Generales'!$E$19</f>
        <v>0.36121103583006897</v>
      </c>
      <c r="AN6" s="281">
        <f>TABLA_BASE[[#This Row],[CF UNIT.
✅RECUP.(S/.)]]*TABLA_BASE[[#This Row],[CANTIDAD
(unid.)]]</f>
        <v>3693.0216303266252</v>
      </c>
      <c r="AO6" s="298">
        <f>'💰 Precio de Venta'!G11</f>
        <v>0.4</v>
      </c>
      <c r="AP6" s="281">
        <f>'💰 Precio de Venta'!H11</f>
        <v>2.7568445759601969</v>
      </c>
      <c r="AQ6" s="284">
        <f>'💰 Precio de Venta'!I11</f>
        <v>3.2530765996330322</v>
      </c>
      <c r="AR6" s="281">
        <f>'💰 Precio de Venta'!J11</f>
        <v>1.1027378303840789</v>
      </c>
      <c r="AS6" s="300">
        <f>'💰 Precio de Venta'!K11</f>
        <v>1398</v>
      </c>
      <c r="AT6" s="281">
        <f>TABLA_BASE[[#This Row],[GANANCIA
UNIT.(S/.)]]*'🧾 Factura Comercial'!G8</f>
        <v>11274.391577846824</v>
      </c>
      <c r="AU6" s="280">
        <f>IF(TABLA_BASE[[#This Row],[PRECIO VTA.
c/IGV(S/.)]]=0,0,TABLA_BASE[[#This Row],[GANANCIA
UNIT.(S/.)]]/TABLA_BASE[[#This Row],[PRECIO VTA.
c/IGV(S/.)]])</f>
        <v>0.33898305084745767</v>
      </c>
      <c r="AV6" s="280">
        <f>IF(TABLA_BASE[[#This Row],[C/M UNIT.
(S/.)]]=0,0,TABLA_BASE[[#This Row],[GANANCIA
UNIT.(S/.)]]/TABLA_BASE[[#This Row],[C/M UNIT.
(S/.)]])</f>
        <v>0.66666666666666685</v>
      </c>
      <c r="AW6" s="277" t="str">
        <f>IF(TABLA_BASE[[#This Row],[MARGEN
%]]&gt;=0.5,"🟢 ALTO",IF(TABLA_BASE[[#This Row],[MARGEN
%]]&gt;=0.3,"🟡 MEDIO","🔴 BAJO"))</f>
        <v>🟡 MEDIO</v>
      </c>
    </row>
    <row r="7" spans="1:49" ht="16.5" thickTop="1" thickBot="1" x14ac:dyDescent="0.3">
      <c r="A7" s="277" t="str">
        <f>'🧾 Factura Comercial'!E9</f>
        <v>Cable Micro USB 2m Nylon</v>
      </c>
      <c r="B7" s="277" t="str">
        <f>'🧾 Factura Comercial'!F9</f>
        <v>Unid.</v>
      </c>
      <c r="C7" s="278">
        <f>'🧾 Factura Comercial'!G9</f>
        <v>8640</v>
      </c>
      <c r="D7" s="279">
        <f>'🧾 Factura Comercial'!H9</f>
        <v>0.26</v>
      </c>
      <c r="E7" s="279">
        <f>'🧾 Factura Comercial'!I9</f>
        <v>2246.4</v>
      </c>
      <c r="F7" s="280">
        <f>IF('🧾 Tributos Aduana'!$F$6=0,0,'🧾 Factura Comercial'!I9/'🧾 Tributos Aduana'!$F$6)</f>
        <v>0.15804403620153992</v>
      </c>
      <c r="G7" s="281">
        <f>'🧾 Factura Comercial'!H9*'📋 Datos Generales'!$E$19</f>
        <v>0.96720000000000006</v>
      </c>
      <c r="H7" s="281">
        <f>TABLA_BASE[[#This Row],[FOB UNIT.
(S/.)]]*TABLA_BASE[[#This Row],[CANTIDAD
(unid.)]]</f>
        <v>8356.6080000000002</v>
      </c>
      <c r="I7" s="283">
        <f>IF('🧾 Tributos Aduana'!$F$6=0,0,'🧾 Tributos Aduana'!$F$17*('🧾 Factura Comercial'!H9/'🧾 Tributos Aduana'!$F$6))</f>
        <v>1.803604394614796E-2</v>
      </c>
      <c r="J7" s="283">
        <f>TABLA_BASE[[#This Row],[ADV UNIT.
(US$)
⚠️COSTO]]*TABLA_BASE[[#This Row],[CANTIDAD
(unid.)]]</f>
        <v>155.83141969471836</v>
      </c>
      <c r="K7" s="282">
        <f>IF('🧾 Tributos Aduana'!$F$6=0,0,'🧾 Tributos Aduana'!$F$18*('🧾 Factura Comercial'!H9/'🧾 Tributos Aduana'!$F$6))</f>
        <v>6.3656625692286913E-3</v>
      </c>
      <c r="L7" s="283">
        <f>TABLA_BASE[[#This Row],[IPM UNIT.
(US$)
✅CF]]*TABLA_BASE[[#This Row],[CANTIDAD
(unid.)]]</f>
        <v>54.999324598135892</v>
      </c>
      <c r="M7" s="282">
        <f>IF('🧾 Tributos Aduana'!$F$6=0,0,'🧾 Tributos Aduana'!$F$19*('🧾 Factura Comercial'!H9/'🧾 Tributos Aduana'!$F$6))</f>
        <v>5.0998469089108024E-2</v>
      </c>
      <c r="N7" s="283">
        <f>TABLA_BASE[[#This Row],[IGV UNIT.
(US$)
✅CF]]*TABLA_BASE[[#This Row],[CANTIDAD
(unid.)]]</f>
        <v>440.62677292989332</v>
      </c>
      <c r="O7" s="283">
        <f>IF('🧾 Tributos Aduana'!$F$6=0,0,'🧾 Tributos Aduana'!$F$23*('🧾 Factura Comercial'!H9/'🧾 Tributos Aduana'!$F$6))</f>
        <v>1.3163019496600479E-2</v>
      </c>
      <c r="P7" s="283">
        <f>TABLA_BASE[[#This Row],[PERCEP.
UNIT.(US$)
✅CF]]*TABLA_BASE[[#This Row],[CANTIDAD
(unid.)]]</f>
        <v>113.72848845062813</v>
      </c>
      <c r="Q7" s="282">
        <f>TABLA_BASE[[#This Row],[ADV UNIT.
(US$)
⚠️COSTO]]+TABLA_BASE[[#This Row],[IPM UNIT.
(US$)
✅CF]]+TABLA_BASE[[#This Row],[IGV UNIT.
(US$)
✅CF]]</f>
        <v>7.540017560448467E-2</v>
      </c>
      <c r="R7" s="283">
        <f>TABLA_BASE[[#This Row],[DEUDA
ADUANERA
UNIT.]]*TABLA_BASE[[#This Row],[CANTIDAD
(unid.)]]</f>
        <v>651.45751722274758</v>
      </c>
      <c r="S7" s="284">
        <f>TABLA_BASE[[#This Row],[ADV UNIT.
(US$)
⚠️COSTO]]*'📋 Datos Generales'!$E$19</f>
        <v>6.7094083479670413E-2</v>
      </c>
      <c r="T7" s="284">
        <f>TABLA_BASE[[#This Row],[ADV UNIT.
(S/.)]]*TABLA_BASE[[#This Row],[CANTIDAD
(unid.)]]</f>
        <v>579.69288126435242</v>
      </c>
      <c r="U7" s="284">
        <f>TABLA_BASE[[#This Row],[IPM UNIT.
(US$)
✅CF]]*'📋 Datos Generales'!$E$19</f>
        <v>2.3680264757530732E-2</v>
      </c>
      <c r="V7" s="284">
        <f>TABLA_BASE[[#This Row],[IPM UNIT.
(S/.)]]*TABLA_BASE[[#This Row],[CANTIDAD
(unid.)]]</f>
        <v>204.59748750506552</v>
      </c>
      <c r="W7" s="284">
        <f>TABLA_BASE[[#This Row],[IGV UNIT.
(US$)
✅CF]]*'📋 Datos Generales'!$E$19</f>
        <v>0.18971430501148187</v>
      </c>
      <c r="X7" s="284">
        <f>TABLA_BASE[[#This Row],[IGV UNIT.
(S/.)]]*TABLA_BASE[[#This Row],[CANTIDAD
(unid.)]]</f>
        <v>1639.1315952992034</v>
      </c>
      <c r="Y7" s="284">
        <f>TABLA_BASE[[#This Row],[PERCEP.
UNIT.(US$)
✅CF]]*'📋 Datos Generales'!$E$19</f>
        <v>4.8966432527353783E-2</v>
      </c>
      <c r="Z7" s="284">
        <f>TABLA_BASE[[#This Row],[PERCEP.
UNIT.(S/.)]]*TABLA_BASE[[#This Row],[CANTIDAD
(unid.)]]</f>
        <v>423.0699770363367</v>
      </c>
      <c r="AA7" s="282">
        <f>TABLA_BASE[[#This Row],[ADV UNIT.
(US$)
⚠️COSTO]]+TABLA_BASE[[#This Row],[IPM UNIT.
(US$)
✅CF]]+TABLA_BASE[[#This Row],[IGV UNIT.
(US$)
✅CF]]+TABLA_BASE[[#This Row],[PERCEP.
UNIT.(US$)
✅CF]]</f>
        <v>8.8563195101085151E-2</v>
      </c>
      <c r="AB7" s="282">
        <f>TABLA_BASE[[#This Row],[TOTAL PAGO
SUNAT
UNIT.(US$)]]*TABLA_BASE[[#This Row],[CANTIDAD
(unid.)]]</f>
        <v>765.18600567337569</v>
      </c>
      <c r="AC7" s="284">
        <f>TABLA_BASE[[#This Row],[TOTAL PAGO
SUNAT
UNIT.(US$)]]*'📋 Datos Generales'!$E$19</f>
        <v>0.32945508577603677</v>
      </c>
      <c r="AD7" s="284">
        <f>TABLA_BASE[[#This Row],[TOTAL TRIB.
UNIT.(S/.)]]*TABLA_BASE[[#This Row],[CANTIDAD
(unid.)]]</f>
        <v>2846.4919411049577</v>
      </c>
      <c r="AE7" s="282">
        <f>IF('🧾 Factura Comercial'!G9=0,0,'📦 Gastos Importación'!$E$28*(IF('🧾 Tributos Aduana'!$F$6=0,0,'🧾 Factura Comercial'!I9/'🧾 Tributos Aduana'!$F$6))/'🧾 Factura Comercial'!G9)</f>
        <v>0.34002826838218742</v>
      </c>
      <c r="AF7" s="282">
        <f>TABLA_BASE[[#This Row],[GASTOS IMP.
UNIT.(US$)]]*TABLA_BASE[[#This Row],[CANTIDAD
(unid.)]]</f>
        <v>2937.8442388220992</v>
      </c>
      <c r="AG7" s="284">
        <f>TABLA_BASE[[#This Row],[GASTOS IMP.
UNIT.(US$)]]*'📋 Datos Generales'!$E$19</f>
        <v>1.2649051583817372</v>
      </c>
      <c r="AH7" s="284">
        <f>TABLA_BASE[[#This Row],[GASTOS IMP.
UNIT.(S/.)]]*TABLA_BASE[[#This Row],[CANTIDAD
(unid.)]]</f>
        <v>10928.780568418209</v>
      </c>
      <c r="AI7" s="283">
        <f>'🧮 Costos x Producto'!J11</f>
        <v>0.34002826838218742</v>
      </c>
      <c r="AJ7" s="281">
        <f>'🧮 Costos x Producto'!K11</f>
        <v>1.2649051583817372</v>
      </c>
      <c r="AK7" s="282">
        <f>IF('🧾 Factura Comercial'!G9=0,0,'🧾 Tributos Aduana'!$F$17*(IF('🧾 Tributos Aduana'!$F$6=0,0,'🧾 Factura Comercial'!I9/'🧾 Tributos Aduana'!$F$6))/'🧾 Factura Comercial'!G9)</f>
        <v>1.803604394614796E-2</v>
      </c>
      <c r="AL7" s="281">
        <f>IF('🧾 Factura Comercial'!G9=0,0,'🏦 Crédito Fiscal'!$C$16*(IF('🧾 Tributos Aduana'!$F$6=0,0,'🧾 Factura Comercial'!I9/'🧾 Tributos Aduana'!$F$6))/'🧾 Factura Comercial'!G9)</f>
        <v>7.4252742975820615E-2</v>
      </c>
      <c r="AM7" s="281">
        <f>TABLA_BASE[[#This Row],[CF UNIT.
✅RECUP.
(US$)]]*'📋 Datos Generales'!$E$19</f>
        <v>0.27622020387005269</v>
      </c>
      <c r="AN7" s="281">
        <f>TABLA_BASE[[#This Row],[CF UNIT.
✅RECUP.(S/.)]]*TABLA_BASE[[#This Row],[CANTIDAD
(unid.)]]</f>
        <v>2386.5425614372552</v>
      </c>
      <c r="AO7" s="298">
        <f>'💰 Precio de Venta'!G12</f>
        <v>0.4</v>
      </c>
      <c r="AP7" s="281">
        <f>'💰 Precio de Venta'!H12</f>
        <v>2.1081752639695623</v>
      </c>
      <c r="AQ7" s="284">
        <f>'💰 Precio de Venta'!I12</f>
        <v>2.4876468114840833</v>
      </c>
      <c r="AR7" s="281">
        <f>'💰 Precio de Venta'!J12</f>
        <v>0.84327010558782511</v>
      </c>
      <c r="AS7" s="300">
        <f>'💰 Precio de Venta'!K12</f>
        <v>1181</v>
      </c>
      <c r="AT7" s="281">
        <f>TABLA_BASE[[#This Row],[GANANCIA
UNIT.(S/.)]]*'🧾 Factura Comercial'!G9</f>
        <v>7285.8537122788093</v>
      </c>
      <c r="AU7" s="280">
        <f>IF(TABLA_BASE[[#This Row],[PRECIO VTA.
c/IGV(S/.)]]=0,0,TABLA_BASE[[#This Row],[GANANCIA
UNIT.(S/.)]]/TABLA_BASE[[#This Row],[PRECIO VTA.
c/IGV(S/.)]])</f>
        <v>0.33898305084745772</v>
      </c>
      <c r="AV7" s="280">
        <f>IF(TABLA_BASE[[#This Row],[C/M UNIT.
(S/.)]]=0,0,TABLA_BASE[[#This Row],[GANANCIA
UNIT.(S/.)]]/TABLA_BASE[[#This Row],[C/M UNIT.
(S/.)]])</f>
        <v>0.66666666666666685</v>
      </c>
      <c r="AW7" s="277" t="str">
        <f>IF(TABLA_BASE[[#This Row],[MARGEN
%]]&gt;=0.5,"🟢 ALTO",IF(TABLA_BASE[[#This Row],[MARGEN
%]]&gt;=0.3,"🟡 MEDIO","🔴 BAJO"))</f>
        <v>🟡 MEDIO</v>
      </c>
    </row>
    <row r="8" spans="1:49" ht="16.5" thickTop="1" thickBot="1" x14ac:dyDescent="0.3">
      <c r="A8" s="277" t="str">
        <f>'🧾 Factura Comercial'!E10</f>
        <v>Soporte Anillo Pop Socket Metálico</v>
      </c>
      <c r="B8" s="277" t="str">
        <f>'🧾 Factura Comercial'!F10</f>
        <v>Unid.</v>
      </c>
      <c r="C8" s="278">
        <f>'🧾 Factura Comercial'!G10</f>
        <v>2160</v>
      </c>
      <c r="D8" s="279">
        <f>'🧾 Factura Comercial'!H10</f>
        <v>0.28999999999999998</v>
      </c>
      <c r="E8" s="279">
        <f>'🧾 Factura Comercial'!I10</f>
        <v>626.4</v>
      </c>
      <c r="F8" s="280">
        <f>IF('🧾 Tributos Aduana'!$F$6=0,0,'🧾 Factura Comercial'!I10/'🧾 Tributos Aduana'!$F$6)</f>
        <v>4.4069971633121707E-2</v>
      </c>
      <c r="G8" s="281">
        <f>'🧾 Factura Comercial'!H10*'📋 Datos Generales'!$E$19</f>
        <v>1.0788</v>
      </c>
      <c r="H8" s="281">
        <f>TABLA_BASE[[#This Row],[FOB UNIT.
(S/.)]]*TABLA_BASE[[#This Row],[CANTIDAD
(unid.)]]</f>
        <v>2330.2080000000001</v>
      </c>
      <c r="I8" s="283">
        <f>IF('🧾 Tributos Aduana'!$F$6=0,0,'🧾 Tributos Aduana'!$F$17*('🧾 Factura Comercial'!H10/'🧾 Tributos Aduana'!$F$6))</f>
        <v>2.0117125939934262E-2</v>
      </c>
      <c r="J8" s="283">
        <f>TABLA_BASE[[#This Row],[ADV UNIT.
(US$)
⚠️COSTO]]*TABLA_BASE[[#This Row],[CANTIDAD
(unid.)]]</f>
        <v>43.452992030258002</v>
      </c>
      <c r="K8" s="282">
        <f>IF('🧾 Tributos Aduana'!$F$6=0,0,'🧾 Tributos Aduana'!$F$18*('🧾 Factura Comercial'!H10/'🧾 Tributos Aduana'!$F$6))</f>
        <v>7.1001620964473858E-3</v>
      </c>
      <c r="L8" s="283">
        <f>TABLA_BASE[[#This Row],[IPM UNIT.
(US$)
✅CF]]*TABLA_BASE[[#This Row],[CANTIDAD
(unid.)]]</f>
        <v>15.336350128326353</v>
      </c>
      <c r="M8" s="282">
        <f>IF('🧾 Tributos Aduana'!$F$6=0,0,'🧾 Tributos Aduana'!$F$19*('🧾 Factura Comercial'!H10/'🧾 Tributos Aduana'!$F$6))</f>
        <v>5.6882907830158945E-2</v>
      </c>
      <c r="N8" s="283">
        <f>TABLA_BASE[[#This Row],[IGV UNIT.
(US$)
✅CF]]*TABLA_BASE[[#This Row],[CANTIDAD
(unid.)]]</f>
        <v>122.86708091314333</v>
      </c>
      <c r="O8" s="283">
        <f>IF('🧾 Tributos Aduana'!$F$6=0,0,'🧾 Tributos Aduana'!$F$23*('🧾 Factura Comercial'!H10/'🧾 Tributos Aduana'!$F$6))</f>
        <v>1.4681829438515917E-2</v>
      </c>
      <c r="P8" s="283">
        <f>TABLA_BASE[[#This Row],[PERCEP.
UNIT.(US$)
✅CF]]*TABLA_BASE[[#This Row],[CANTIDAD
(unid.)]]</f>
        <v>31.712751587194379</v>
      </c>
      <c r="Q8" s="282">
        <f>TABLA_BASE[[#This Row],[ADV UNIT.
(US$)
⚠️COSTO]]+TABLA_BASE[[#This Row],[IPM UNIT.
(US$)
✅CF]]+TABLA_BASE[[#This Row],[IGV UNIT.
(US$)
✅CF]]</f>
        <v>8.4100195866540592E-2</v>
      </c>
      <c r="R8" s="283">
        <f>TABLA_BASE[[#This Row],[DEUDA
ADUANERA
UNIT.]]*TABLA_BASE[[#This Row],[CANTIDAD
(unid.)]]</f>
        <v>181.65642307172769</v>
      </c>
      <c r="S8" s="284">
        <f>TABLA_BASE[[#This Row],[ADV UNIT.
(US$)
⚠️COSTO]]*'📋 Datos Generales'!$E$19</f>
        <v>7.4835708496555464E-2</v>
      </c>
      <c r="T8" s="284">
        <f>TABLA_BASE[[#This Row],[ADV UNIT.
(S/.)]]*TABLA_BASE[[#This Row],[CANTIDAD
(unid.)]]</f>
        <v>161.64513035255979</v>
      </c>
      <c r="U8" s="284">
        <f>TABLA_BASE[[#This Row],[IPM UNIT.
(US$)
✅CF]]*'📋 Datos Generales'!$E$19</f>
        <v>2.6412602998784278E-2</v>
      </c>
      <c r="V8" s="284">
        <f>TABLA_BASE[[#This Row],[IPM UNIT.
(S/.)]]*TABLA_BASE[[#This Row],[CANTIDAD
(unid.)]]</f>
        <v>57.05122247737404</v>
      </c>
      <c r="W8" s="284">
        <f>TABLA_BASE[[#This Row],[IGV UNIT.
(US$)
✅CF]]*'📋 Datos Generales'!$E$19</f>
        <v>0.21160441712819128</v>
      </c>
      <c r="X8" s="284">
        <f>TABLA_BASE[[#This Row],[IGV UNIT.
(S/.)]]*TABLA_BASE[[#This Row],[CANTIDAD
(unid.)]]</f>
        <v>457.06554099689316</v>
      </c>
      <c r="Y8" s="284">
        <f>TABLA_BASE[[#This Row],[PERCEP.
UNIT.(US$)
✅CF]]*'📋 Datos Generales'!$E$19</f>
        <v>5.4616405511279213E-2</v>
      </c>
      <c r="Z8" s="284">
        <f>TABLA_BASE[[#This Row],[PERCEP.
UNIT.(S/.)]]*TABLA_BASE[[#This Row],[CANTIDAD
(unid.)]]</f>
        <v>117.9714359043631</v>
      </c>
      <c r="AA8" s="282">
        <f>TABLA_BASE[[#This Row],[ADV UNIT.
(US$)
⚠️COSTO]]+TABLA_BASE[[#This Row],[IPM UNIT.
(US$)
✅CF]]+TABLA_BASE[[#This Row],[IGV UNIT.
(US$)
✅CF]]+TABLA_BASE[[#This Row],[PERCEP.
UNIT.(US$)
✅CF]]</f>
        <v>9.8782025305056503E-2</v>
      </c>
      <c r="AB8" s="282">
        <f>TABLA_BASE[[#This Row],[TOTAL PAGO
SUNAT
UNIT.(US$)]]*TABLA_BASE[[#This Row],[CANTIDAD
(unid.)]]</f>
        <v>213.36917465892205</v>
      </c>
      <c r="AC8" s="284">
        <f>TABLA_BASE[[#This Row],[TOTAL PAGO
SUNAT
UNIT.(US$)]]*'📋 Datos Generales'!$E$19</f>
        <v>0.36746913413481019</v>
      </c>
      <c r="AD8" s="284">
        <f>TABLA_BASE[[#This Row],[TOTAL TRIB.
UNIT.(S/.)]]*TABLA_BASE[[#This Row],[CANTIDAD
(unid.)]]</f>
        <v>793.73332973119</v>
      </c>
      <c r="AE8" s="282">
        <f>IF('🧾 Factura Comercial'!G10=0,0,'📦 Gastos Importación'!$E$28*(IF('🧾 Tributos Aduana'!$F$6=0,0,'🧾 Factura Comercial'!I10/'🧾 Tributos Aduana'!$F$6))/'🧾 Factura Comercial'!G10)</f>
        <v>0.3792622993493629</v>
      </c>
      <c r="AF8" s="282">
        <f>TABLA_BASE[[#This Row],[GASTOS IMP.
UNIT.(US$)]]*TABLA_BASE[[#This Row],[CANTIDAD
(unid.)]]</f>
        <v>819.20656659462384</v>
      </c>
      <c r="AG8" s="284">
        <f>TABLA_BASE[[#This Row],[GASTOS IMP.
UNIT.(US$)]]*'📋 Datos Generales'!$E$19</f>
        <v>1.41085575357963</v>
      </c>
      <c r="AH8" s="284">
        <f>TABLA_BASE[[#This Row],[GASTOS IMP.
UNIT.(S/.)]]*TABLA_BASE[[#This Row],[CANTIDAD
(unid.)]]</f>
        <v>3047.4484277320007</v>
      </c>
      <c r="AI8" s="283">
        <f>'🧮 Costos x Producto'!J12</f>
        <v>0.3792622993493629</v>
      </c>
      <c r="AJ8" s="281">
        <f>'🧮 Costos x Producto'!K12</f>
        <v>1.41085575357963</v>
      </c>
      <c r="AK8" s="282">
        <f>IF('🧾 Factura Comercial'!G10=0,0,'🧾 Tributos Aduana'!$F$17*(IF('🧾 Tributos Aduana'!$F$6=0,0,'🧾 Factura Comercial'!I10/'🧾 Tributos Aduana'!$F$6))/'🧾 Factura Comercial'!G10)</f>
        <v>2.0117125939934262E-2</v>
      </c>
      <c r="AL8" s="281">
        <f>IF('🧾 Factura Comercial'!G10=0,0,'🏦 Crédito Fiscal'!$C$16*(IF('🧾 Tributos Aduana'!$F$6=0,0,'🧾 Factura Comercial'!I10/'🧾 Tributos Aduana'!$F$6))/'🧾 Factura Comercial'!G10)</f>
        <v>8.2820367165338388E-2</v>
      </c>
      <c r="AM8" s="281">
        <f>TABLA_BASE[[#This Row],[CF UNIT.
✅RECUP.
(US$)]]*'📋 Datos Generales'!$E$19</f>
        <v>0.30809176585505882</v>
      </c>
      <c r="AN8" s="281">
        <f>TABLA_BASE[[#This Row],[CF UNIT.
✅RECUP.(S/.)]]*TABLA_BASE[[#This Row],[CANTIDAD
(unid.)]]</f>
        <v>665.478214246927</v>
      </c>
      <c r="AO8" s="298">
        <f>'💰 Precio de Venta'!G13</f>
        <v>0.4</v>
      </c>
      <c r="AP8" s="281">
        <f>'💰 Precio de Venta'!H13</f>
        <v>2.3514262559660501</v>
      </c>
      <c r="AQ8" s="284">
        <f>'💰 Precio de Venta'!I13</f>
        <v>2.774682982039939</v>
      </c>
      <c r="AR8" s="281">
        <f>'💰 Precio de Venta'!J13</f>
        <v>0.94057050238642015</v>
      </c>
      <c r="AS8" s="300">
        <f>'💰 Precio de Venta'!K13</f>
        <v>296</v>
      </c>
      <c r="AT8" s="281">
        <f>TABLA_BASE[[#This Row],[GANANCIA
UNIT.(S/.)]]*'🧾 Factura Comercial'!G10</f>
        <v>2031.6322851546674</v>
      </c>
      <c r="AU8" s="280">
        <f>IF(TABLA_BASE[[#This Row],[PRECIO VTA.
c/IGV(S/.)]]=0,0,TABLA_BASE[[#This Row],[GANANCIA
UNIT.(S/.)]]/TABLA_BASE[[#This Row],[PRECIO VTA.
c/IGV(S/.)]])</f>
        <v>0.33898305084745767</v>
      </c>
      <c r="AV8" s="280">
        <f>IF(TABLA_BASE[[#This Row],[C/M UNIT.
(S/.)]]=0,0,TABLA_BASE[[#This Row],[GANANCIA
UNIT.(S/.)]]/TABLA_BASE[[#This Row],[C/M UNIT.
(S/.)]])</f>
        <v>0.66666666666666674</v>
      </c>
      <c r="AW8" s="277" t="str">
        <f>IF(TABLA_BASE[[#This Row],[MARGEN
%]]&gt;=0.5,"🟢 ALTO",IF(TABLA_BASE[[#This Row],[MARGEN
%]]&gt;=0.3,"🟡 MEDIO","🔴 BAJO"))</f>
        <v>🟡 MEDIO</v>
      </c>
    </row>
    <row r="9" spans="1:49" ht="16.5" thickTop="1" thickBot="1" x14ac:dyDescent="0.3">
      <c r="A9" s="277" t="str">
        <f>'🧾 Factura Comercial'!E11</f>
        <v>Cargador Inalámbrico 15W Qi</v>
      </c>
      <c r="B9" s="277" t="str">
        <f>'🧾 Factura Comercial'!F11</f>
        <v>Unid.</v>
      </c>
      <c r="C9" s="278">
        <f>'🧾 Factura Comercial'!G11</f>
        <v>240</v>
      </c>
      <c r="D9" s="279">
        <f>'🧾 Factura Comercial'!H11</f>
        <v>5.71</v>
      </c>
      <c r="E9" s="279">
        <f>'🧾 Factura Comercial'!I11</f>
        <v>1370.4</v>
      </c>
      <c r="F9" s="280">
        <f>IF('🧾 Tributos Aduana'!$F$6=0,0,'🧾 Factura Comercial'!I11/'🧾 Tributos Aduana'!$F$6)</f>
        <v>9.6413616101580446E-2</v>
      </c>
      <c r="G9" s="281">
        <f>'🧾 Factura Comercial'!H11*'📋 Datos Generales'!$E$19</f>
        <v>21.241200000000003</v>
      </c>
      <c r="H9" s="281">
        <f>TABLA_BASE[[#This Row],[FOB UNIT.
(S/.)]]*TABLA_BASE[[#This Row],[CANTIDAD
(unid.)]]</f>
        <v>5097.8880000000008</v>
      </c>
      <c r="I9" s="283">
        <f>IF('🧾 Tributos Aduana'!$F$6=0,0,'🧾 Tributos Aduana'!$F$17*('🧾 Factura Comercial'!H11/'🧾 Tributos Aduana'!$F$6))</f>
        <v>0.39609927281732632</v>
      </c>
      <c r="J9" s="283">
        <f>TABLA_BASE[[#This Row],[ADV UNIT.
(US$)
⚠️COSTO]]*TABLA_BASE[[#This Row],[CANTIDAD
(unid.)]]</f>
        <v>95.063825476158314</v>
      </c>
      <c r="K9" s="282">
        <f>IF('🧾 Tributos Aduana'!$F$6=0,0,'🧾 Tributos Aduana'!$F$18*('🧾 Factura Comercial'!H11/'🧾 Tributos Aduana'!$F$6))</f>
        <v>0.13979974334729164</v>
      </c>
      <c r="L9" s="283">
        <f>TABLA_BASE[[#This Row],[IPM UNIT.
(US$)
✅CF]]*TABLA_BASE[[#This Row],[CANTIDAD
(unid.)]]</f>
        <v>33.551938403349993</v>
      </c>
      <c r="M9" s="282">
        <f>IF('🧾 Tributos Aduana'!$F$6=0,0,'🧾 Tributos Aduana'!$F$19*('🧾 Factura Comercial'!H11/'🧾 Tributos Aduana'!$F$6))</f>
        <v>1.120004840380026</v>
      </c>
      <c r="N9" s="283">
        <f>TABLA_BASE[[#This Row],[IGV UNIT.
(US$)
✅CF]]*TABLA_BASE[[#This Row],[CANTIDAD
(unid.)]]</f>
        <v>268.80116169120623</v>
      </c>
      <c r="O9" s="283">
        <f>IF('🧾 Tributos Aduana'!$F$6=0,0,'🧾 Tributos Aduana'!$F$23*('🧾 Factura Comercial'!H11/'🧾 Tributos Aduana'!$F$6))</f>
        <v>0.28908015894457201</v>
      </c>
      <c r="P9" s="283">
        <f>TABLA_BASE[[#This Row],[PERCEP.
UNIT.(US$)
✅CF]]*TABLA_BASE[[#This Row],[CANTIDAD
(unid.)]]</f>
        <v>69.379238146697276</v>
      </c>
      <c r="Q9" s="282">
        <f>TABLA_BASE[[#This Row],[ADV UNIT.
(US$)
⚠️COSTO]]+TABLA_BASE[[#This Row],[IPM UNIT.
(US$)
✅CF]]+TABLA_BASE[[#This Row],[IGV UNIT.
(US$)
✅CF]]</f>
        <v>1.655903856544644</v>
      </c>
      <c r="R9" s="283">
        <f>TABLA_BASE[[#This Row],[DEUDA
ADUANERA
UNIT.]]*TABLA_BASE[[#This Row],[CANTIDAD
(unid.)]]</f>
        <v>397.41692557071457</v>
      </c>
      <c r="S9" s="284">
        <f>TABLA_BASE[[#This Row],[ADV UNIT.
(US$)
⚠️COSTO]]*'📋 Datos Generales'!$E$19</f>
        <v>1.4734892948804539</v>
      </c>
      <c r="T9" s="284">
        <f>TABLA_BASE[[#This Row],[ADV UNIT.
(S/.)]]*TABLA_BASE[[#This Row],[CANTIDAD
(unid.)]]</f>
        <v>353.63743077130891</v>
      </c>
      <c r="U9" s="284">
        <f>TABLA_BASE[[#This Row],[IPM UNIT.
(US$)
✅CF]]*'📋 Datos Generales'!$E$19</f>
        <v>0.52005504525192492</v>
      </c>
      <c r="V9" s="284">
        <f>TABLA_BASE[[#This Row],[IPM UNIT.
(S/.)]]*TABLA_BASE[[#This Row],[CANTIDAD
(unid.)]]</f>
        <v>124.81321086046198</v>
      </c>
      <c r="W9" s="284">
        <f>TABLA_BASE[[#This Row],[IGV UNIT.
(US$)
✅CF]]*'📋 Datos Generales'!$E$19</f>
        <v>4.1664180062136973</v>
      </c>
      <c r="X9" s="284">
        <f>TABLA_BASE[[#This Row],[IGV UNIT.
(S/.)]]*TABLA_BASE[[#This Row],[CANTIDAD
(unid.)]]</f>
        <v>999.94032149128736</v>
      </c>
      <c r="Y9" s="284">
        <f>TABLA_BASE[[#This Row],[PERCEP.
UNIT.(US$)
✅CF]]*'📋 Datos Generales'!$E$19</f>
        <v>1.0753781912738078</v>
      </c>
      <c r="Z9" s="284">
        <f>TABLA_BASE[[#This Row],[PERCEP.
UNIT.(S/.)]]*TABLA_BASE[[#This Row],[CANTIDAD
(unid.)]]</f>
        <v>258.09076590571391</v>
      </c>
      <c r="AA9" s="282">
        <f>TABLA_BASE[[#This Row],[ADV UNIT.
(US$)
⚠️COSTO]]+TABLA_BASE[[#This Row],[IPM UNIT.
(US$)
✅CF]]+TABLA_BASE[[#This Row],[IGV UNIT.
(US$)
✅CF]]+TABLA_BASE[[#This Row],[PERCEP.
UNIT.(US$)
✅CF]]</f>
        <v>1.944984015489216</v>
      </c>
      <c r="AB9" s="282">
        <f>TABLA_BASE[[#This Row],[TOTAL PAGO
SUNAT
UNIT.(US$)]]*TABLA_BASE[[#This Row],[CANTIDAD
(unid.)]]</f>
        <v>466.79616371741184</v>
      </c>
      <c r="AC9" s="284">
        <f>TABLA_BASE[[#This Row],[TOTAL PAGO
SUNAT
UNIT.(US$)]]*'📋 Datos Generales'!$E$19</f>
        <v>7.2353405376198836</v>
      </c>
      <c r="AD9" s="284">
        <f>TABLA_BASE[[#This Row],[TOTAL TRIB.
UNIT.(S/.)]]*TABLA_BASE[[#This Row],[CANTIDAD
(unid.)]]</f>
        <v>1736.481729028772</v>
      </c>
      <c r="AE9" s="282">
        <f>IF('🧾 Factura Comercial'!G11=0,0,'📦 Gastos Importación'!$E$28*(IF('🧾 Tributos Aduana'!$F$6=0,0,'🧾 Factura Comercial'!I11/'🧾 Tributos Aduana'!$F$6))/'🧾 Factura Comercial'!G11)</f>
        <v>7.4675438940857317</v>
      </c>
      <c r="AF9" s="282">
        <f>TABLA_BASE[[#This Row],[GASTOS IMP.
UNIT.(US$)]]*TABLA_BASE[[#This Row],[CANTIDAD
(unid.)]]</f>
        <v>1792.2105345805755</v>
      </c>
      <c r="AG9" s="284">
        <f>TABLA_BASE[[#This Row],[GASTOS IMP.
UNIT.(US$)]]*'📋 Datos Generales'!$E$19</f>
        <v>27.779263285998923</v>
      </c>
      <c r="AH9" s="284">
        <f>TABLA_BASE[[#This Row],[GASTOS IMP.
UNIT.(S/.)]]*TABLA_BASE[[#This Row],[CANTIDAD
(unid.)]]</f>
        <v>6667.0231886397414</v>
      </c>
      <c r="AI9" s="283">
        <f>'🧮 Costos x Producto'!J13</f>
        <v>7.4675438940857317</v>
      </c>
      <c r="AJ9" s="281">
        <f>'🧮 Costos x Producto'!K13</f>
        <v>27.779263285998923</v>
      </c>
      <c r="AK9" s="282">
        <f>IF('🧾 Factura Comercial'!G11=0,0,'🧾 Tributos Aduana'!$F$17*(IF('🧾 Tributos Aduana'!$F$6=0,0,'🧾 Factura Comercial'!I11/'🧾 Tributos Aduana'!$F$6))/'🧾 Factura Comercial'!G11)</f>
        <v>0.39609927281732632</v>
      </c>
      <c r="AL9" s="281">
        <f>IF('🧾 Factura Comercial'!G11=0,0,'🏦 Crédito Fiscal'!$C$16*(IF('🧾 Tributos Aduana'!$F$6=0,0,'🧾 Factura Comercial'!I11/'🧾 Tributos Aduana'!$F$6))/'🧾 Factura Comercial'!G11)</f>
        <v>1.6307044707382141</v>
      </c>
      <c r="AM9" s="281">
        <f>TABLA_BASE[[#This Row],[CF UNIT.
✅RECUP.
(US$)]]*'📋 Datos Generales'!$E$19</f>
        <v>6.0662206311461571</v>
      </c>
      <c r="AN9" s="281">
        <f>TABLA_BASE[[#This Row],[CF UNIT.
✅RECUP.(S/.)]]*TABLA_BASE[[#This Row],[CANTIDAD
(unid.)]]</f>
        <v>1455.8929514750778</v>
      </c>
      <c r="AO9" s="298">
        <f>'💰 Precio de Venta'!G14</f>
        <v>0.4</v>
      </c>
      <c r="AP9" s="281">
        <f>'💰 Precio de Venta'!H14</f>
        <v>46.29877214333154</v>
      </c>
      <c r="AQ9" s="284">
        <f>'💰 Precio de Venta'!I14</f>
        <v>54.632551129131215</v>
      </c>
      <c r="AR9" s="281">
        <f>'💰 Precio de Venta'!J14</f>
        <v>18.519508857332617</v>
      </c>
      <c r="AS9" s="300">
        <f>'💰 Precio de Venta'!K14</f>
        <v>33</v>
      </c>
      <c r="AT9" s="281">
        <f>TABLA_BASE[[#This Row],[GANANCIA
UNIT.(S/.)]]*'🧾 Factura Comercial'!G11</f>
        <v>4444.6821257598285</v>
      </c>
      <c r="AU9" s="280">
        <f>IF(TABLA_BASE[[#This Row],[PRECIO VTA.
c/IGV(S/.)]]=0,0,TABLA_BASE[[#This Row],[GANANCIA
UNIT.(S/.)]]/TABLA_BASE[[#This Row],[PRECIO VTA.
c/IGV(S/.)]])</f>
        <v>0.33898305084745767</v>
      </c>
      <c r="AV9" s="280">
        <f>IF(TABLA_BASE[[#This Row],[C/M UNIT.
(S/.)]]=0,0,TABLA_BASE[[#This Row],[GANANCIA
UNIT.(S/.)]]/TABLA_BASE[[#This Row],[C/M UNIT.
(S/.)]])</f>
        <v>0.66666666666666674</v>
      </c>
      <c r="AW9" s="277" t="str">
        <f>IF(TABLA_BASE[[#This Row],[MARGEN
%]]&gt;=0.5,"🟢 ALTO",IF(TABLA_BASE[[#This Row],[MARGEN
%]]&gt;=0.3,"🟡 MEDIO","🔴 BAJO"))</f>
        <v>🟡 MEDIO</v>
      </c>
    </row>
    <row r="10" spans="1:49" ht="16.5" thickTop="1" thickBot="1" x14ac:dyDescent="0.3">
      <c r="A10" s="277" t="str">
        <f>'🧾 Factura Comercial'!E12</f>
        <v>Case Wallet Cuero PU Samsung S24</v>
      </c>
      <c r="B10" s="277" t="str">
        <f>'🧾 Factura Comercial'!F12</f>
        <v>Unid.</v>
      </c>
      <c r="C10" s="278">
        <f>'🧾 Factura Comercial'!G12</f>
        <v>1920</v>
      </c>
      <c r="D10" s="279">
        <f>'🧾 Factura Comercial'!H12</f>
        <v>0.76</v>
      </c>
      <c r="E10" s="279">
        <f>'🧾 Factura Comercial'!I12</f>
        <v>1459.2</v>
      </c>
      <c r="F10" s="280">
        <f>IF('🧾 Tributos Aduana'!$F$6=0,0,'🧾 Factura Comercial'!I12/'🧾 Tributos Aduana'!$F$6)</f>
        <v>0.10266108334459004</v>
      </c>
      <c r="G10" s="281">
        <f>'🧾 Factura Comercial'!H12*'📋 Datos Generales'!$E$19</f>
        <v>2.8272000000000004</v>
      </c>
      <c r="H10" s="281">
        <f>TABLA_BASE[[#This Row],[FOB UNIT.
(S/.)]]*TABLA_BASE[[#This Row],[CANTIDAD
(unid.)]]</f>
        <v>5428.2240000000011</v>
      </c>
      <c r="I10" s="283">
        <f>IF('🧾 Tributos Aduana'!$F$6=0,0,'🧾 Tributos Aduana'!$F$17*('🧾 Factura Comercial'!H12/'🧾 Tributos Aduana'!$F$6))</f>
        <v>5.2720743842586341E-2</v>
      </c>
      <c r="J10" s="283">
        <f>TABLA_BASE[[#This Row],[ADV UNIT.
(US$)
⚠️COSTO]]*TABLA_BASE[[#This Row],[CANTIDAD
(unid.)]]</f>
        <v>101.22382817776578</v>
      </c>
      <c r="K10" s="282">
        <f>IF('🧾 Tributos Aduana'!$F$6=0,0,'🧾 Tributos Aduana'!$F$18*('🧾 Factura Comercial'!H12/'🧾 Tributos Aduana'!$F$6))</f>
        <v>1.8607321356206942E-2</v>
      </c>
      <c r="L10" s="283">
        <f>TABLA_BASE[[#This Row],[IPM UNIT.
(US$)
✅CF]]*TABLA_BASE[[#This Row],[CANTIDAD
(unid.)]]</f>
        <v>35.726057003917326</v>
      </c>
      <c r="M10" s="282">
        <f>IF('🧾 Tributos Aduana'!$F$6=0,0,'🧾 Tributos Aduana'!$F$19*('🧾 Factura Comercial'!H12/'🧾 Tributos Aduana'!$F$6))</f>
        <v>0.14907244810662343</v>
      </c>
      <c r="N10" s="283">
        <f>TABLA_BASE[[#This Row],[IGV UNIT.
(US$)
✅CF]]*TABLA_BASE[[#This Row],[CANTIDAD
(unid.)]]</f>
        <v>286.21910036471701</v>
      </c>
      <c r="O10" s="283">
        <f>IF('🧾 Tributos Aduana'!$F$6=0,0,'🧾 Tributos Aduana'!$F$23*('🧾 Factura Comercial'!H12/'🧾 Tributos Aduana'!$F$6))</f>
        <v>3.8476518528524475E-2</v>
      </c>
      <c r="P10" s="283">
        <f>TABLA_BASE[[#This Row],[PERCEP.
UNIT.(US$)
✅CF]]*TABLA_BASE[[#This Row],[CANTIDAD
(unid.)]]</f>
        <v>73.874915574766987</v>
      </c>
      <c r="Q10" s="282">
        <f>TABLA_BASE[[#This Row],[ADV UNIT.
(US$)
⚠️COSTO]]+TABLA_BASE[[#This Row],[IPM UNIT.
(US$)
✅CF]]+TABLA_BASE[[#This Row],[IGV UNIT.
(US$)
✅CF]]</f>
        <v>0.22040051330541671</v>
      </c>
      <c r="R10" s="283">
        <f>TABLA_BASE[[#This Row],[DEUDA
ADUANERA
UNIT.]]*TABLA_BASE[[#This Row],[CANTIDAD
(unid.)]]</f>
        <v>423.16898554640011</v>
      </c>
      <c r="S10" s="284">
        <f>TABLA_BASE[[#This Row],[ADV UNIT.
(US$)
⚠️COSTO]]*'📋 Datos Generales'!$E$19</f>
        <v>0.19612116709442121</v>
      </c>
      <c r="T10" s="284">
        <f>TABLA_BASE[[#This Row],[ADV UNIT.
(S/.)]]*TABLA_BASE[[#This Row],[CANTIDAD
(unid.)]]</f>
        <v>376.55264082128872</v>
      </c>
      <c r="U10" s="284">
        <f>TABLA_BASE[[#This Row],[IPM UNIT.
(US$)
✅CF]]*'📋 Datos Generales'!$E$19</f>
        <v>6.921923544508983E-2</v>
      </c>
      <c r="V10" s="284">
        <f>TABLA_BASE[[#This Row],[IPM UNIT.
(S/.)]]*TABLA_BASE[[#This Row],[CANTIDAD
(unid.)]]</f>
        <v>132.90093205457248</v>
      </c>
      <c r="W10" s="284">
        <f>TABLA_BASE[[#This Row],[IGV UNIT.
(US$)
✅CF]]*'📋 Datos Generales'!$E$19</f>
        <v>0.55454950695663918</v>
      </c>
      <c r="X10" s="284">
        <f>TABLA_BASE[[#This Row],[IGV UNIT.
(S/.)]]*TABLA_BASE[[#This Row],[CANTIDAD
(unid.)]]</f>
        <v>1064.7350533567471</v>
      </c>
      <c r="Y10" s="284">
        <f>TABLA_BASE[[#This Row],[PERCEP.
UNIT.(US$)
✅CF]]*'📋 Datos Generales'!$E$19</f>
        <v>0.14313264892611105</v>
      </c>
      <c r="Z10" s="284">
        <f>TABLA_BASE[[#This Row],[PERCEP.
UNIT.(S/.)]]*TABLA_BASE[[#This Row],[CANTIDAD
(unid.)]]</f>
        <v>274.81468593813321</v>
      </c>
      <c r="AA10" s="282">
        <f>TABLA_BASE[[#This Row],[ADV UNIT.
(US$)
⚠️COSTO]]+TABLA_BASE[[#This Row],[IPM UNIT.
(US$)
✅CF]]+TABLA_BASE[[#This Row],[IGV UNIT.
(US$)
✅CF]]+TABLA_BASE[[#This Row],[PERCEP.
UNIT.(US$)
✅CF]]</f>
        <v>0.25887703183394117</v>
      </c>
      <c r="AB10" s="282">
        <f>TABLA_BASE[[#This Row],[TOTAL PAGO
SUNAT
UNIT.(US$)]]*TABLA_BASE[[#This Row],[CANTIDAD
(unid.)]]</f>
        <v>497.04390112116704</v>
      </c>
      <c r="AC10" s="284">
        <f>TABLA_BASE[[#This Row],[TOTAL PAGO
SUNAT
UNIT.(US$)]]*'📋 Datos Generales'!$E$19</f>
        <v>0.96302255842226125</v>
      </c>
      <c r="AD10" s="284">
        <f>TABLA_BASE[[#This Row],[TOTAL TRIB.
UNIT.(S/.)]]*TABLA_BASE[[#This Row],[CANTIDAD
(unid.)]]</f>
        <v>1849.0033121707415</v>
      </c>
      <c r="AE10" s="282">
        <f>IF('🧾 Factura Comercial'!G12=0,0,'📦 Gastos Importación'!$E$28*(IF('🧾 Tributos Aduana'!$F$6=0,0,'🧾 Factura Comercial'!I12/'🧾 Tributos Aduana'!$F$6))/'🧾 Factura Comercial'!G12)</f>
        <v>0.99392878450177868</v>
      </c>
      <c r="AF10" s="282">
        <f>TABLA_BASE[[#This Row],[GASTOS IMP.
UNIT.(US$)]]*TABLA_BASE[[#This Row],[CANTIDAD
(unid.)]]</f>
        <v>1908.343266243415</v>
      </c>
      <c r="AG10" s="284">
        <f>TABLA_BASE[[#This Row],[GASTOS IMP.
UNIT.(US$)]]*'📋 Datos Generales'!$E$19</f>
        <v>3.6974150783466171</v>
      </c>
      <c r="AH10" s="284">
        <f>TABLA_BASE[[#This Row],[GASTOS IMP.
UNIT.(S/.)]]*TABLA_BASE[[#This Row],[CANTIDAD
(unid.)]]</f>
        <v>7099.036950425505</v>
      </c>
      <c r="AI10" s="283">
        <f>'🧮 Costos x Producto'!J14</f>
        <v>0.99392878450177868</v>
      </c>
      <c r="AJ10" s="281">
        <f>'🧮 Costos x Producto'!K14</f>
        <v>3.6974150783466171</v>
      </c>
      <c r="AK10" s="282">
        <f>IF('🧾 Factura Comercial'!G12=0,0,'🧾 Tributos Aduana'!$F$17*(IF('🧾 Tributos Aduana'!$F$6=0,0,'🧾 Factura Comercial'!I12/'🧾 Tributos Aduana'!$F$6))/'🧾 Factura Comercial'!G12)</f>
        <v>5.2720743842586341E-2</v>
      </c>
      <c r="AL10" s="281">
        <f>IF('🧾 Factura Comercial'!G12=0,0,'🏦 Crédito Fiscal'!$C$16*(IF('🧾 Tributos Aduana'!$F$6=0,0,'🧾 Factura Comercial'!I12/'🧾 Tributos Aduana'!$F$6))/'🧾 Factura Comercial'!G12)</f>
        <v>0.21704647946778335</v>
      </c>
      <c r="AM10" s="281">
        <f>TABLA_BASE[[#This Row],[CF UNIT.
✅RECUP.
(US$)]]*'📋 Datos Generales'!$E$19</f>
        <v>0.80741290362015417</v>
      </c>
      <c r="AN10" s="281">
        <f>TABLA_BASE[[#This Row],[CF UNIT.
✅RECUP.(S/.)]]*TABLA_BASE[[#This Row],[CANTIDAD
(unid.)]]</f>
        <v>1550.232774950696</v>
      </c>
      <c r="AO10" s="298">
        <f>'💰 Precio de Venta'!G15</f>
        <v>0.4</v>
      </c>
      <c r="AP10" s="281">
        <f>'💰 Precio de Venta'!H15</f>
        <v>6.1623584639110289</v>
      </c>
      <c r="AQ10" s="284">
        <f>'💰 Precio de Venta'!I15</f>
        <v>7.2715829874150142</v>
      </c>
      <c r="AR10" s="281">
        <f>'💰 Precio de Venta'!J15</f>
        <v>2.4649433855644118</v>
      </c>
      <c r="AS10" s="300">
        <f>'💰 Precio de Venta'!K15</f>
        <v>263</v>
      </c>
      <c r="AT10" s="281">
        <f>TABLA_BASE[[#This Row],[GANANCIA
UNIT.(S/.)]]*'🧾 Factura Comercial'!G12</f>
        <v>4732.6913002836709</v>
      </c>
      <c r="AU10" s="280">
        <f>IF(TABLA_BASE[[#This Row],[PRECIO VTA.
c/IGV(S/.)]]=0,0,TABLA_BASE[[#This Row],[GANANCIA
UNIT.(S/.)]]/TABLA_BASE[[#This Row],[PRECIO VTA.
c/IGV(S/.)]])</f>
        <v>0.33898305084745767</v>
      </c>
      <c r="AV10" s="280">
        <f>IF(TABLA_BASE[[#This Row],[C/M UNIT.
(S/.)]]=0,0,TABLA_BASE[[#This Row],[GANANCIA
UNIT.(S/.)]]/TABLA_BASE[[#This Row],[C/M UNIT.
(S/.)]])</f>
        <v>0.66666666666666674</v>
      </c>
      <c r="AW10" s="277" t="str">
        <f>IF(TABLA_BASE[[#This Row],[MARGEN
%]]&gt;=0.5,"🟢 ALTO",IF(TABLA_BASE[[#This Row],[MARGEN
%]]&gt;=0.3,"🟡 MEDIO","🔴 BAJO"))</f>
        <v>🟡 MEDIO</v>
      </c>
    </row>
    <row r="11" spans="1:49" ht="16.5" thickTop="1" thickBot="1" x14ac:dyDescent="0.3">
      <c r="A11" s="277" t="str">
        <f>'🧾 Factura Comercial'!E13</f>
        <v>Adaptador USB-C a Jack 3.5mm</v>
      </c>
      <c r="B11" s="277" t="str">
        <f>'🧾 Factura Comercial'!F13</f>
        <v>Unid.</v>
      </c>
      <c r="C11" s="278">
        <f>'🧾 Factura Comercial'!G13</f>
        <v>4800</v>
      </c>
      <c r="D11" s="279">
        <f>'🧾 Factura Comercial'!H13</f>
        <v>0.28000000000000003</v>
      </c>
      <c r="E11" s="279">
        <f>'🧾 Factura Comercial'!I13</f>
        <v>1344.0000000000002</v>
      </c>
      <c r="F11" s="280">
        <f>IF('🧾 Tributos Aduana'!$F$6=0,0,'🧾 Factura Comercial'!I13/'🧾 Tributos Aduana'!$F$6)</f>
        <v>9.4556260975280304E-2</v>
      </c>
      <c r="G11" s="281">
        <f>'🧾 Factura Comercial'!H13*'📋 Datos Generales'!$E$19</f>
        <v>1.0416000000000001</v>
      </c>
      <c r="H11" s="281">
        <f>TABLA_BASE[[#This Row],[FOB UNIT.
(S/.)]]*TABLA_BASE[[#This Row],[CANTIDAD
(unid.)]]</f>
        <v>4999.68</v>
      </c>
      <c r="I11" s="283">
        <f>IF('🧾 Tributos Aduana'!$F$6=0,0,'🧾 Tributos Aduana'!$F$17*('🧾 Factura Comercial'!H13/'🧾 Tributos Aduana'!$F$6))</f>
        <v>1.9423431942005496E-2</v>
      </c>
      <c r="J11" s="283">
        <f>TABLA_BASE[[#This Row],[ADV UNIT.
(US$)
⚠️COSTO]]*TABLA_BASE[[#This Row],[CANTIDAD
(unid.)]]</f>
        <v>93.232473321626387</v>
      </c>
      <c r="K11" s="282">
        <f>IF('🧾 Tributos Aduana'!$F$6=0,0,'🧾 Tributos Aduana'!$F$18*('🧾 Factura Comercial'!H13/'🧾 Tributos Aduana'!$F$6))</f>
        <v>6.8553289207078216E-3</v>
      </c>
      <c r="L11" s="283">
        <f>TABLA_BASE[[#This Row],[IPM UNIT.
(US$)
✅CF]]*TABLA_BASE[[#This Row],[CANTIDAD
(unid.)]]</f>
        <v>32.90557881939754</v>
      </c>
      <c r="M11" s="282">
        <f>IF('🧾 Tributos Aduana'!$F$6=0,0,'🧾 Tributos Aduana'!$F$19*('🧾 Factura Comercial'!H13/'🧾 Tributos Aduana'!$F$6))</f>
        <v>5.492142824980864E-2</v>
      </c>
      <c r="N11" s="283">
        <f>TABLA_BASE[[#This Row],[IGV UNIT.
(US$)
✅CF]]*TABLA_BASE[[#This Row],[CANTIDAD
(unid.)]]</f>
        <v>263.62285559908145</v>
      </c>
      <c r="O11" s="283">
        <f>IF('🧾 Tributos Aduana'!$F$6=0,0,'🧾 Tributos Aduana'!$F$23*('🧾 Factura Comercial'!H13/'🧾 Tributos Aduana'!$F$6))</f>
        <v>1.4175559457877438E-2</v>
      </c>
      <c r="P11" s="283">
        <f>TABLA_BASE[[#This Row],[PERCEP.
UNIT.(US$)
✅CF]]*TABLA_BASE[[#This Row],[CANTIDAD
(unid.)]]</f>
        <v>68.042685397811709</v>
      </c>
      <c r="Q11" s="282">
        <f>TABLA_BASE[[#This Row],[ADV UNIT.
(US$)
⚠️COSTO]]+TABLA_BASE[[#This Row],[IPM UNIT.
(US$)
✅CF]]+TABLA_BASE[[#This Row],[IGV UNIT.
(US$)
✅CF]]</f>
        <v>8.1200189112521956E-2</v>
      </c>
      <c r="R11" s="283">
        <f>TABLA_BASE[[#This Row],[DEUDA
ADUANERA
UNIT.]]*TABLA_BASE[[#This Row],[CANTIDAD
(unid.)]]</f>
        <v>389.76090774010538</v>
      </c>
      <c r="S11" s="284">
        <f>TABLA_BASE[[#This Row],[ADV UNIT.
(US$)
⚠️COSTO]]*'📋 Datos Generales'!$E$19</f>
        <v>7.2255166824260447E-2</v>
      </c>
      <c r="T11" s="284">
        <f>TABLA_BASE[[#This Row],[ADV UNIT.
(S/.)]]*TABLA_BASE[[#This Row],[CANTIDAD
(unid.)]]</f>
        <v>346.82480075645014</v>
      </c>
      <c r="U11" s="284">
        <f>TABLA_BASE[[#This Row],[IPM UNIT.
(US$)
✅CF]]*'📋 Datos Generales'!$E$19</f>
        <v>2.5501823585033098E-2</v>
      </c>
      <c r="V11" s="284">
        <f>TABLA_BASE[[#This Row],[IPM UNIT.
(S/.)]]*TABLA_BASE[[#This Row],[CANTIDAD
(unid.)]]</f>
        <v>122.40875320815887</v>
      </c>
      <c r="W11" s="284">
        <f>TABLA_BASE[[#This Row],[IGV UNIT.
(US$)
✅CF]]*'📋 Datos Generales'!$E$19</f>
        <v>0.20430771308928816</v>
      </c>
      <c r="X11" s="284">
        <f>TABLA_BASE[[#This Row],[IGV UNIT.
(S/.)]]*TABLA_BASE[[#This Row],[CANTIDAD
(unid.)]]</f>
        <v>980.67702282858318</v>
      </c>
      <c r="Y11" s="284">
        <f>TABLA_BASE[[#This Row],[PERCEP.
UNIT.(US$)
✅CF]]*'📋 Datos Generales'!$E$19</f>
        <v>5.2733081183304074E-2</v>
      </c>
      <c r="Z11" s="284">
        <f>TABLA_BASE[[#This Row],[PERCEP.
UNIT.(S/.)]]*TABLA_BASE[[#This Row],[CANTIDAD
(unid.)]]</f>
        <v>253.11878967985956</v>
      </c>
      <c r="AA11" s="282">
        <f>TABLA_BASE[[#This Row],[ADV UNIT.
(US$)
⚠️COSTO]]+TABLA_BASE[[#This Row],[IPM UNIT.
(US$)
✅CF]]+TABLA_BASE[[#This Row],[IGV UNIT.
(US$)
✅CF]]+TABLA_BASE[[#This Row],[PERCEP.
UNIT.(US$)
✅CF]]</f>
        <v>9.5375748570399391E-2</v>
      </c>
      <c r="AB11" s="282">
        <f>TABLA_BASE[[#This Row],[TOTAL PAGO
SUNAT
UNIT.(US$)]]*TABLA_BASE[[#This Row],[CANTIDAD
(unid.)]]</f>
        <v>457.80359313791706</v>
      </c>
      <c r="AC11" s="284">
        <f>TABLA_BASE[[#This Row],[TOTAL PAGO
SUNAT
UNIT.(US$)]]*'📋 Datos Generales'!$E$19</f>
        <v>0.35479778468188578</v>
      </c>
      <c r="AD11" s="284">
        <f>TABLA_BASE[[#This Row],[TOTAL TRIB.
UNIT.(S/.)]]*TABLA_BASE[[#This Row],[CANTIDAD
(unid.)]]</f>
        <v>1703.0293664730518</v>
      </c>
      <c r="AE11" s="282">
        <f>IF('🧾 Factura Comercial'!G13=0,0,'📦 Gastos Importación'!$E$28*(IF('🧾 Tributos Aduana'!$F$6=0,0,'🧾 Factura Comercial'!I13/'🧾 Tributos Aduana'!$F$6))/'🧾 Factura Comercial'!G13)</f>
        <v>0.36618428902697109</v>
      </c>
      <c r="AF11" s="282">
        <f>TABLA_BASE[[#This Row],[GASTOS IMP.
UNIT.(US$)]]*TABLA_BASE[[#This Row],[CANTIDAD
(unid.)]]</f>
        <v>1757.6845873294612</v>
      </c>
      <c r="AG11" s="284">
        <f>TABLA_BASE[[#This Row],[GASTOS IMP.
UNIT.(US$)]]*'📋 Datos Generales'!$E$19</f>
        <v>1.3622055551803325</v>
      </c>
      <c r="AH11" s="284">
        <f>TABLA_BASE[[#This Row],[GASTOS IMP.
UNIT.(S/.)]]*TABLA_BASE[[#This Row],[CANTIDAD
(unid.)]]</f>
        <v>6538.5866648655956</v>
      </c>
      <c r="AI11" s="283">
        <f>'🧮 Costos x Producto'!J15</f>
        <v>0.36618428902697109</v>
      </c>
      <c r="AJ11" s="281">
        <f>'🧮 Costos x Producto'!K15</f>
        <v>1.3622055551803325</v>
      </c>
      <c r="AK11" s="282">
        <f>IF('🧾 Factura Comercial'!G13=0,0,'🧾 Tributos Aduana'!$F$17*(IF('🧾 Tributos Aduana'!$F$6=0,0,'🧾 Factura Comercial'!I13/'🧾 Tributos Aduana'!$F$6))/'🧾 Factura Comercial'!G13)</f>
        <v>1.9423431942005496E-2</v>
      </c>
      <c r="AL11" s="281">
        <f>IF('🧾 Factura Comercial'!G13=0,0,'🏦 Crédito Fiscal'!$C$16*(IF('🧾 Tributos Aduana'!$F$6=0,0,'🧾 Factura Comercial'!I13/'🧾 Tributos Aduana'!$F$6))/'🧾 Factura Comercial'!G13)</f>
        <v>7.9964492435499135E-2</v>
      </c>
      <c r="AM11" s="281">
        <f>TABLA_BASE[[#This Row],[CF UNIT.
✅RECUP.
(US$)]]*'📋 Datos Generales'!$E$19</f>
        <v>0.29746791186005678</v>
      </c>
      <c r="AN11" s="281">
        <f>TABLA_BASE[[#This Row],[CF UNIT.
✅RECUP.(S/.)]]*TABLA_BASE[[#This Row],[CANTIDAD
(unid.)]]</f>
        <v>1427.8459769282724</v>
      </c>
      <c r="AO11" s="298">
        <f>'💰 Precio de Venta'!G16</f>
        <v>0.4</v>
      </c>
      <c r="AP11" s="281">
        <f>'💰 Precio de Venta'!H16</f>
        <v>2.2703425919672209</v>
      </c>
      <c r="AQ11" s="284">
        <f>'💰 Precio de Venta'!I16</f>
        <v>2.6790042585213203</v>
      </c>
      <c r="AR11" s="281">
        <f>'💰 Precio de Venta'!J16</f>
        <v>0.9081370367868884</v>
      </c>
      <c r="AS11" s="300">
        <f>'💰 Precio de Venta'!K16</f>
        <v>657</v>
      </c>
      <c r="AT11" s="281">
        <f>TABLA_BASE[[#This Row],[GANANCIA
UNIT.(S/.)]]*'🧾 Factura Comercial'!G13</f>
        <v>4359.057776577064</v>
      </c>
      <c r="AU11" s="280">
        <f>IF(TABLA_BASE[[#This Row],[PRECIO VTA.
c/IGV(S/.)]]=0,0,TABLA_BASE[[#This Row],[GANANCIA
UNIT.(S/.)]]/TABLA_BASE[[#This Row],[PRECIO VTA.
c/IGV(S/.)]])</f>
        <v>0.33898305084745767</v>
      </c>
      <c r="AV11" s="280">
        <f>IF(TABLA_BASE[[#This Row],[C/M UNIT.
(S/.)]]=0,0,TABLA_BASE[[#This Row],[GANANCIA
UNIT.(S/.)]]/TABLA_BASE[[#This Row],[C/M UNIT.
(S/.)]])</f>
        <v>0.66666666666666674</v>
      </c>
      <c r="AW11" s="277" t="str">
        <f>IF(TABLA_BASE[[#This Row],[MARGEN
%]]&gt;=0.5,"🟢 ALTO",IF(TABLA_BASE[[#This Row],[MARGEN
%]]&gt;=0.3,"🟡 MEDIO","🔴 BAJO"))</f>
        <v>🟡 MEDIO</v>
      </c>
    </row>
    <row r="12" spans="1:49" ht="16.5" hidden="1" thickTop="1" thickBot="1" x14ac:dyDescent="0.3">
      <c r="A12" s="277">
        <f>'🧾 Factura Comercial'!E14</f>
        <v>0</v>
      </c>
      <c r="B12" s="277" t="str">
        <f>'🧾 Factura Comercial'!F14</f>
        <v>Unid.</v>
      </c>
      <c r="C12" s="278">
        <f>'🧾 Factura Comercial'!G14</f>
        <v>0</v>
      </c>
      <c r="D12" s="279">
        <f>'🧾 Factura Comercial'!H14</f>
        <v>0</v>
      </c>
      <c r="E12" s="279">
        <f>'🧾 Factura Comercial'!I14</f>
        <v>0</v>
      </c>
      <c r="F12" s="280">
        <f>IF('🧾 Tributos Aduana'!$F$6=0,0,'🧾 Factura Comercial'!I14/'🧾 Tributos Aduana'!$F$6)</f>
        <v>0</v>
      </c>
      <c r="G12" s="281">
        <f>'🧾 Factura Comercial'!H14*'📋 Datos Generales'!$E$19</f>
        <v>0</v>
      </c>
      <c r="H12" s="281">
        <f>TABLA_BASE[[#This Row],[FOB UNIT.
(S/.)]]*TABLA_BASE[[#This Row],[CANTIDAD
(unid.)]]</f>
        <v>0</v>
      </c>
      <c r="I12" s="283">
        <f>IF('🧾 Tributos Aduana'!$F$6=0,0,'🧾 Tributos Aduana'!$F$17*('🧾 Factura Comercial'!H14/'🧾 Tributos Aduana'!$F$6))</f>
        <v>0</v>
      </c>
      <c r="J12" s="283">
        <f>TABLA_BASE[[#This Row],[ADV UNIT.
(US$)
⚠️COSTO]]*TABLA_BASE[[#This Row],[CANTIDAD
(unid.)]]</f>
        <v>0</v>
      </c>
      <c r="K12" s="282">
        <f>IF('🧾 Tributos Aduana'!$F$6=0,0,'🧾 Tributos Aduana'!$F$18*('🧾 Factura Comercial'!H14/'🧾 Tributos Aduana'!$F$6))</f>
        <v>0</v>
      </c>
      <c r="L12" s="283">
        <f>TABLA_BASE[[#This Row],[IPM UNIT.
(US$)
✅CF]]*TABLA_BASE[[#This Row],[CANTIDAD
(unid.)]]</f>
        <v>0</v>
      </c>
      <c r="M12" s="282">
        <f>IF('🧾 Tributos Aduana'!$F$6=0,0,'🧾 Tributos Aduana'!$F$19*('🧾 Factura Comercial'!H14/'🧾 Tributos Aduana'!$F$6))</f>
        <v>0</v>
      </c>
      <c r="N12" s="283">
        <f>TABLA_BASE[[#This Row],[IGV UNIT.
(US$)
✅CF]]*TABLA_BASE[[#This Row],[CANTIDAD
(unid.)]]</f>
        <v>0</v>
      </c>
      <c r="O12" s="283">
        <f>IF('🧾 Tributos Aduana'!$F$6=0,0,'🧾 Tributos Aduana'!$F$23*('🧾 Factura Comercial'!H14/'🧾 Tributos Aduana'!$F$6))</f>
        <v>0</v>
      </c>
      <c r="P12" s="283">
        <f>TABLA_BASE[[#This Row],[PERCEP.
UNIT.(US$)
✅CF]]*TABLA_BASE[[#This Row],[CANTIDAD
(unid.)]]</f>
        <v>0</v>
      </c>
      <c r="Q12" s="282">
        <f>TABLA_BASE[[#This Row],[ADV UNIT.
(US$)
⚠️COSTO]]+TABLA_BASE[[#This Row],[IPM UNIT.
(US$)
✅CF]]+TABLA_BASE[[#This Row],[IGV UNIT.
(US$)
✅CF]]</f>
        <v>0</v>
      </c>
      <c r="R12" s="283">
        <f>TABLA_BASE[[#This Row],[DEUDA
ADUANERA
UNIT.]]*TABLA_BASE[[#This Row],[CANTIDAD
(unid.)]]</f>
        <v>0</v>
      </c>
      <c r="S12" s="284">
        <f>TABLA_BASE[[#This Row],[ADV UNIT.
(US$)
⚠️COSTO]]*'📋 Datos Generales'!$E$19</f>
        <v>0</v>
      </c>
      <c r="T12" s="284">
        <f>TABLA_BASE[[#This Row],[ADV UNIT.
(S/.)]]*TABLA_BASE[[#This Row],[CANTIDAD
(unid.)]]</f>
        <v>0</v>
      </c>
      <c r="U12" s="284">
        <f>TABLA_BASE[[#This Row],[IPM UNIT.
(US$)
✅CF]]*'📋 Datos Generales'!$E$19</f>
        <v>0</v>
      </c>
      <c r="V12" s="284">
        <f>TABLA_BASE[[#This Row],[IPM UNIT.
(S/.)]]*TABLA_BASE[[#This Row],[CANTIDAD
(unid.)]]</f>
        <v>0</v>
      </c>
      <c r="W12" s="284">
        <f>TABLA_BASE[[#This Row],[IGV UNIT.
(US$)
✅CF]]*'📋 Datos Generales'!$E$19</f>
        <v>0</v>
      </c>
      <c r="X12" s="284">
        <f>TABLA_BASE[[#This Row],[IGV UNIT.
(S/.)]]*TABLA_BASE[[#This Row],[CANTIDAD
(unid.)]]</f>
        <v>0</v>
      </c>
      <c r="Y12" s="284">
        <f>TABLA_BASE[[#This Row],[PERCEP.
UNIT.(US$)
✅CF]]*'📋 Datos Generales'!$E$19</f>
        <v>0</v>
      </c>
      <c r="Z12" s="284">
        <f>TABLA_BASE[[#This Row],[PERCEP.
UNIT.(S/.)]]*TABLA_BASE[[#This Row],[CANTIDAD
(unid.)]]</f>
        <v>0</v>
      </c>
      <c r="AA12" s="282">
        <f>TABLA_BASE[[#This Row],[ADV UNIT.
(US$)
⚠️COSTO]]+TABLA_BASE[[#This Row],[IPM UNIT.
(US$)
✅CF]]+TABLA_BASE[[#This Row],[IGV UNIT.
(US$)
✅CF]]+TABLA_BASE[[#This Row],[PERCEP.
UNIT.(US$)
✅CF]]</f>
        <v>0</v>
      </c>
      <c r="AB12" s="282">
        <f>TABLA_BASE[[#This Row],[TOTAL PAGO
SUNAT
UNIT.(US$)]]*TABLA_BASE[[#This Row],[CANTIDAD
(unid.)]]</f>
        <v>0</v>
      </c>
      <c r="AC12" s="284">
        <f>TABLA_BASE[[#This Row],[TOTAL PAGO
SUNAT
UNIT.(US$)]]*'📋 Datos Generales'!$E$19</f>
        <v>0</v>
      </c>
      <c r="AD12" s="284">
        <f>TABLA_BASE[[#This Row],[TOTAL TRIB.
UNIT.(S/.)]]*TABLA_BASE[[#This Row],[CANTIDAD
(unid.)]]</f>
        <v>0</v>
      </c>
      <c r="AE12" s="282">
        <f>IF('🧾 Factura Comercial'!G14=0,0,'📦 Gastos Importación'!$E$28*(IF('🧾 Tributos Aduana'!$F$6=0,0,'🧾 Factura Comercial'!I14/'🧾 Tributos Aduana'!$F$6))/'🧾 Factura Comercial'!G14)</f>
        <v>0</v>
      </c>
      <c r="AF12" s="282">
        <f>TABLA_BASE[[#This Row],[GASTOS IMP.
UNIT.(US$)]]*TABLA_BASE[[#This Row],[CANTIDAD
(unid.)]]</f>
        <v>0</v>
      </c>
      <c r="AG12" s="284">
        <f>TABLA_BASE[[#This Row],[GASTOS IMP.
UNIT.(US$)]]*'📋 Datos Generales'!$E$19</f>
        <v>0</v>
      </c>
      <c r="AH12" s="284">
        <f>TABLA_BASE[[#This Row],[GASTOS IMP.
UNIT.(S/.)]]*TABLA_BASE[[#This Row],[CANTIDAD
(unid.)]]</f>
        <v>0</v>
      </c>
      <c r="AI12" s="283">
        <f>'🧮 Costos x Producto'!J16</f>
        <v>0</v>
      </c>
      <c r="AJ12" s="282">
        <f>'🧮 Costos x Producto'!K16</f>
        <v>0</v>
      </c>
      <c r="AK12" s="282">
        <f>IF('🧾 Factura Comercial'!G14=0,0,'🧾 Tributos Aduana'!$F$17*(IF('🧾 Tributos Aduana'!$F$6=0,0,'🧾 Factura Comercial'!I14/'🧾 Tributos Aduana'!$F$6))/'🧾 Factura Comercial'!G14)</f>
        <v>0</v>
      </c>
      <c r="AL12" s="282">
        <f>IF('🧾 Factura Comercial'!G14=0,0,'🏦 Crédito Fiscal'!$C$16*(IF('🧾 Tributos Aduana'!$F$6=0,0,'🧾 Factura Comercial'!I14/'🧾 Tributos Aduana'!$F$6))/'🧾 Factura Comercial'!G14)</f>
        <v>0</v>
      </c>
      <c r="AM12" s="284">
        <f>TABLA_BASE[[#This Row],[CF UNIT.
✅RECUP.
(US$)]]*'📋 Datos Generales'!$E$19</f>
        <v>0</v>
      </c>
      <c r="AN12" s="281">
        <f>TABLA_BASE[[#This Row],[CF UNIT.
✅RECUP.(S/.)]]*TABLA_BASE[[#This Row],[CANTIDAD
(unid.)]]</f>
        <v>0</v>
      </c>
      <c r="AO12" s="298">
        <f>'💰 Precio de Venta'!G17</f>
        <v>0.4</v>
      </c>
      <c r="AP12" s="284">
        <f>'💰 Precio de Venta'!H17</f>
        <v>0</v>
      </c>
      <c r="AQ12" s="284">
        <f>'💰 Precio de Venta'!I17</f>
        <v>0</v>
      </c>
      <c r="AR12" s="281">
        <f>'💰 Precio de Venta'!J17</f>
        <v>0</v>
      </c>
      <c r="AS12" s="300">
        <f>'💰 Precio de Venta'!K17</f>
        <v>0</v>
      </c>
      <c r="AT12" s="281">
        <f>TABLA_BASE[[#This Row],[GANANCIA
UNIT.(S/.)]]*'🧾 Factura Comercial'!G14</f>
        <v>0</v>
      </c>
      <c r="AU12" s="280">
        <f>IF(TABLA_BASE[[#This Row],[PRECIO VTA.
c/IGV(S/.)]]=0,0,TABLA_BASE[[#This Row],[GANANCIA
UNIT.(S/.)]]/TABLA_BASE[[#This Row],[PRECIO VTA.
c/IGV(S/.)]])</f>
        <v>0</v>
      </c>
      <c r="AV12" s="280">
        <f>IF(TABLA_BASE[[#This Row],[C/M UNIT.
(S/.)]]=0,0,TABLA_BASE[[#This Row],[GANANCIA
UNIT.(S/.)]]/TABLA_BASE[[#This Row],[C/M UNIT.
(S/.)]])</f>
        <v>0</v>
      </c>
      <c r="AW12" s="277" t="str">
        <f>IF(TABLA_BASE[[#This Row],[MARGEN
%]]&gt;=0.5,"🟢 ALTO",IF(TABLA_BASE[[#This Row],[MARGEN
%]]&gt;=0.3,"🟡 MEDIO","🔴 BAJO"))</f>
        <v>🟡 MEDIO</v>
      </c>
    </row>
    <row r="13" spans="1:49" ht="16.5" hidden="1" thickTop="1" thickBot="1" x14ac:dyDescent="0.3">
      <c r="A13" s="277">
        <f>'🧾 Factura Comercial'!E15</f>
        <v>0</v>
      </c>
      <c r="B13" s="277" t="str">
        <f>'🧾 Factura Comercial'!F15</f>
        <v>Unid.</v>
      </c>
      <c r="C13" s="278">
        <f>'🧾 Factura Comercial'!G15</f>
        <v>0</v>
      </c>
      <c r="D13" s="279">
        <f>'🧾 Factura Comercial'!H15</f>
        <v>0</v>
      </c>
      <c r="E13" s="279">
        <f>'🧾 Factura Comercial'!I15</f>
        <v>0</v>
      </c>
      <c r="F13" s="280">
        <f>IF('🧾 Tributos Aduana'!$F$6=0,0,'🧾 Factura Comercial'!I15/'🧾 Tributos Aduana'!$F$6)</f>
        <v>0</v>
      </c>
      <c r="G13" s="281">
        <f>'🧾 Factura Comercial'!H15*'📋 Datos Generales'!$E$19</f>
        <v>0</v>
      </c>
      <c r="H13" s="281">
        <f>TABLA_BASE[[#This Row],[FOB UNIT.
(S/.)]]*TABLA_BASE[[#This Row],[CANTIDAD
(unid.)]]</f>
        <v>0</v>
      </c>
      <c r="I13" s="283">
        <f>IF('🧾 Tributos Aduana'!$F$6=0,0,'🧾 Tributos Aduana'!$F$17*('🧾 Factura Comercial'!H15/'🧾 Tributos Aduana'!$F$6))</f>
        <v>0</v>
      </c>
      <c r="J13" s="283">
        <f>TABLA_BASE[[#This Row],[ADV UNIT.
(US$)
⚠️COSTO]]*TABLA_BASE[[#This Row],[CANTIDAD
(unid.)]]</f>
        <v>0</v>
      </c>
      <c r="K13" s="282">
        <f>IF('🧾 Tributos Aduana'!$F$6=0,0,'🧾 Tributos Aduana'!$F$18*('🧾 Factura Comercial'!H15/'🧾 Tributos Aduana'!$F$6))</f>
        <v>0</v>
      </c>
      <c r="L13" s="283">
        <f>TABLA_BASE[[#This Row],[IPM UNIT.
(US$)
✅CF]]*TABLA_BASE[[#This Row],[CANTIDAD
(unid.)]]</f>
        <v>0</v>
      </c>
      <c r="M13" s="282">
        <f>IF('🧾 Tributos Aduana'!$F$6=0,0,'🧾 Tributos Aduana'!$F$19*('🧾 Factura Comercial'!H15/'🧾 Tributos Aduana'!$F$6))</f>
        <v>0</v>
      </c>
      <c r="N13" s="283">
        <f>TABLA_BASE[[#This Row],[IGV UNIT.
(US$)
✅CF]]*TABLA_BASE[[#This Row],[CANTIDAD
(unid.)]]</f>
        <v>0</v>
      </c>
      <c r="O13" s="283">
        <f>IF('🧾 Tributos Aduana'!$F$6=0,0,'🧾 Tributos Aduana'!$F$23*('🧾 Factura Comercial'!H15/'🧾 Tributos Aduana'!$F$6))</f>
        <v>0</v>
      </c>
      <c r="P13" s="283">
        <f>TABLA_BASE[[#This Row],[PERCEP.
UNIT.(US$)
✅CF]]*TABLA_BASE[[#This Row],[CANTIDAD
(unid.)]]</f>
        <v>0</v>
      </c>
      <c r="Q13" s="282">
        <f>TABLA_BASE[[#This Row],[ADV UNIT.
(US$)
⚠️COSTO]]+TABLA_BASE[[#This Row],[IPM UNIT.
(US$)
✅CF]]+TABLA_BASE[[#This Row],[IGV UNIT.
(US$)
✅CF]]</f>
        <v>0</v>
      </c>
      <c r="R13" s="283">
        <f>TABLA_BASE[[#This Row],[DEUDA
ADUANERA
UNIT.]]*TABLA_BASE[[#This Row],[CANTIDAD
(unid.)]]</f>
        <v>0</v>
      </c>
      <c r="S13" s="284">
        <f>TABLA_BASE[[#This Row],[ADV UNIT.
(US$)
⚠️COSTO]]*'📋 Datos Generales'!$E$19</f>
        <v>0</v>
      </c>
      <c r="T13" s="284">
        <f>TABLA_BASE[[#This Row],[ADV UNIT.
(S/.)]]*TABLA_BASE[[#This Row],[CANTIDAD
(unid.)]]</f>
        <v>0</v>
      </c>
      <c r="U13" s="284">
        <f>TABLA_BASE[[#This Row],[IPM UNIT.
(US$)
✅CF]]*'📋 Datos Generales'!$E$19</f>
        <v>0</v>
      </c>
      <c r="V13" s="284">
        <f>TABLA_BASE[[#This Row],[IPM UNIT.
(S/.)]]*TABLA_BASE[[#This Row],[CANTIDAD
(unid.)]]</f>
        <v>0</v>
      </c>
      <c r="W13" s="284">
        <f>TABLA_BASE[[#This Row],[IGV UNIT.
(US$)
✅CF]]*'📋 Datos Generales'!$E$19</f>
        <v>0</v>
      </c>
      <c r="X13" s="284">
        <f>TABLA_BASE[[#This Row],[IGV UNIT.
(S/.)]]*TABLA_BASE[[#This Row],[CANTIDAD
(unid.)]]</f>
        <v>0</v>
      </c>
      <c r="Y13" s="284">
        <f>TABLA_BASE[[#This Row],[PERCEP.
UNIT.(US$)
✅CF]]*'📋 Datos Generales'!$E$19</f>
        <v>0</v>
      </c>
      <c r="Z13" s="284">
        <f>TABLA_BASE[[#This Row],[PERCEP.
UNIT.(S/.)]]*TABLA_BASE[[#This Row],[CANTIDAD
(unid.)]]</f>
        <v>0</v>
      </c>
      <c r="AA13" s="282">
        <f>TABLA_BASE[[#This Row],[ADV UNIT.
(US$)
⚠️COSTO]]+TABLA_BASE[[#This Row],[IPM UNIT.
(US$)
✅CF]]+TABLA_BASE[[#This Row],[IGV UNIT.
(US$)
✅CF]]+TABLA_BASE[[#This Row],[PERCEP.
UNIT.(US$)
✅CF]]</f>
        <v>0</v>
      </c>
      <c r="AB13" s="282">
        <f>TABLA_BASE[[#This Row],[TOTAL PAGO
SUNAT
UNIT.(US$)]]*TABLA_BASE[[#This Row],[CANTIDAD
(unid.)]]</f>
        <v>0</v>
      </c>
      <c r="AC13" s="284">
        <f>TABLA_BASE[[#This Row],[TOTAL PAGO
SUNAT
UNIT.(US$)]]*'📋 Datos Generales'!$E$19</f>
        <v>0</v>
      </c>
      <c r="AD13" s="284">
        <f>TABLA_BASE[[#This Row],[TOTAL TRIB.
UNIT.(S/.)]]*TABLA_BASE[[#This Row],[CANTIDAD
(unid.)]]</f>
        <v>0</v>
      </c>
      <c r="AE13" s="282">
        <f>IF('🧾 Factura Comercial'!G15=0,0,'📦 Gastos Importación'!$E$28*(IF('🧾 Tributos Aduana'!$F$6=0,0,'🧾 Factura Comercial'!I15/'🧾 Tributos Aduana'!$F$6))/'🧾 Factura Comercial'!G15)</f>
        <v>0</v>
      </c>
      <c r="AF13" s="282">
        <f>TABLA_BASE[[#This Row],[GASTOS IMP.
UNIT.(US$)]]*TABLA_BASE[[#This Row],[CANTIDAD
(unid.)]]</f>
        <v>0</v>
      </c>
      <c r="AG13" s="284">
        <f>TABLA_BASE[[#This Row],[GASTOS IMP.
UNIT.(US$)]]*'📋 Datos Generales'!$E$19</f>
        <v>0</v>
      </c>
      <c r="AH13" s="284">
        <f>TABLA_BASE[[#This Row],[GASTOS IMP.
UNIT.(S/.)]]*TABLA_BASE[[#This Row],[CANTIDAD
(unid.)]]</f>
        <v>0</v>
      </c>
      <c r="AI13" s="283">
        <f>'🧮 Costos x Producto'!J17</f>
        <v>0</v>
      </c>
      <c r="AJ13" s="282">
        <f>'🧮 Costos x Producto'!K17</f>
        <v>0</v>
      </c>
      <c r="AK13" s="282">
        <f>IF('🧾 Factura Comercial'!G15=0,0,'🧾 Tributos Aduana'!$F$17*(IF('🧾 Tributos Aduana'!$F$6=0,0,'🧾 Factura Comercial'!I15/'🧾 Tributos Aduana'!$F$6))/'🧾 Factura Comercial'!G15)</f>
        <v>0</v>
      </c>
      <c r="AL13" s="282">
        <f>IF('🧾 Factura Comercial'!G15=0,0,'🏦 Crédito Fiscal'!$C$16*(IF('🧾 Tributos Aduana'!$F$6=0,0,'🧾 Factura Comercial'!I15/'🧾 Tributos Aduana'!$F$6))/'🧾 Factura Comercial'!G15)</f>
        <v>0</v>
      </c>
      <c r="AM13" s="284">
        <f>TABLA_BASE[[#This Row],[CF UNIT.
✅RECUP.
(US$)]]*'📋 Datos Generales'!$E$19</f>
        <v>0</v>
      </c>
      <c r="AN13" s="281">
        <f>TABLA_BASE[[#This Row],[CF UNIT.
✅RECUP.(S/.)]]*TABLA_BASE[[#This Row],[CANTIDAD
(unid.)]]</f>
        <v>0</v>
      </c>
      <c r="AO13" s="298">
        <f>'💰 Precio de Venta'!G18</f>
        <v>0.4</v>
      </c>
      <c r="AP13" s="284">
        <f>'💰 Precio de Venta'!H18</f>
        <v>0</v>
      </c>
      <c r="AQ13" s="284">
        <f>'💰 Precio de Venta'!I18</f>
        <v>0</v>
      </c>
      <c r="AR13" s="281">
        <f>'💰 Precio de Venta'!J18</f>
        <v>0</v>
      </c>
      <c r="AS13" s="300">
        <f>'💰 Precio de Venta'!K18</f>
        <v>0</v>
      </c>
      <c r="AT13" s="281">
        <f>TABLA_BASE[[#This Row],[GANANCIA
UNIT.(S/.)]]*'🧾 Factura Comercial'!G15</f>
        <v>0</v>
      </c>
      <c r="AU13" s="280">
        <f>IF(TABLA_BASE[[#This Row],[PRECIO VTA.
c/IGV(S/.)]]=0,0,TABLA_BASE[[#This Row],[GANANCIA
UNIT.(S/.)]]/TABLA_BASE[[#This Row],[PRECIO VTA.
c/IGV(S/.)]])</f>
        <v>0</v>
      </c>
      <c r="AV13" s="280">
        <f>IF(TABLA_BASE[[#This Row],[C/M UNIT.
(S/.)]]=0,0,TABLA_BASE[[#This Row],[GANANCIA
UNIT.(S/.)]]/TABLA_BASE[[#This Row],[C/M UNIT.
(S/.)]])</f>
        <v>0</v>
      </c>
      <c r="AW13" s="277" t="str">
        <f>IF(TABLA_BASE[[#This Row],[MARGEN
%]]&gt;=0.5,"🟢 ALTO",IF(TABLA_BASE[[#This Row],[MARGEN
%]]&gt;=0.3,"🟡 MEDIO","🔴 BAJO"))</f>
        <v>🟡 MEDIO</v>
      </c>
    </row>
    <row r="14" spans="1:49" ht="16.5" hidden="1" thickTop="1" thickBot="1" x14ac:dyDescent="0.3">
      <c r="A14" s="277">
        <f>'🧾 Factura Comercial'!E16</f>
        <v>0</v>
      </c>
      <c r="B14" s="277" t="str">
        <f>'🧾 Factura Comercial'!F16</f>
        <v>Unid.</v>
      </c>
      <c r="C14" s="278">
        <f>'🧾 Factura Comercial'!G16</f>
        <v>0</v>
      </c>
      <c r="D14" s="279">
        <f>'🧾 Factura Comercial'!H16</f>
        <v>0</v>
      </c>
      <c r="E14" s="279">
        <f>'🧾 Factura Comercial'!I16</f>
        <v>0</v>
      </c>
      <c r="F14" s="280">
        <f>IF('🧾 Tributos Aduana'!$F$6=0,0,'🧾 Factura Comercial'!I16/'🧾 Tributos Aduana'!$F$6)</f>
        <v>0</v>
      </c>
      <c r="G14" s="281">
        <f>'🧾 Factura Comercial'!H16*'📋 Datos Generales'!$E$19</f>
        <v>0</v>
      </c>
      <c r="H14" s="281">
        <f>TABLA_BASE[[#This Row],[FOB UNIT.
(S/.)]]*TABLA_BASE[[#This Row],[CANTIDAD
(unid.)]]</f>
        <v>0</v>
      </c>
      <c r="I14" s="283">
        <f>IF('🧾 Tributos Aduana'!$F$6=0,0,'🧾 Tributos Aduana'!$F$17*('🧾 Factura Comercial'!H16/'🧾 Tributos Aduana'!$F$6))</f>
        <v>0</v>
      </c>
      <c r="J14" s="283">
        <f>TABLA_BASE[[#This Row],[ADV UNIT.
(US$)
⚠️COSTO]]*TABLA_BASE[[#This Row],[CANTIDAD
(unid.)]]</f>
        <v>0</v>
      </c>
      <c r="K14" s="282">
        <f>IF('🧾 Tributos Aduana'!$F$6=0,0,'🧾 Tributos Aduana'!$F$18*('🧾 Factura Comercial'!H16/'🧾 Tributos Aduana'!$F$6))</f>
        <v>0</v>
      </c>
      <c r="L14" s="283">
        <f>TABLA_BASE[[#This Row],[IPM UNIT.
(US$)
✅CF]]*TABLA_BASE[[#This Row],[CANTIDAD
(unid.)]]</f>
        <v>0</v>
      </c>
      <c r="M14" s="282">
        <f>IF('🧾 Tributos Aduana'!$F$6=0,0,'🧾 Tributos Aduana'!$F$19*('🧾 Factura Comercial'!H16/'🧾 Tributos Aduana'!$F$6))</f>
        <v>0</v>
      </c>
      <c r="N14" s="283">
        <f>TABLA_BASE[[#This Row],[IGV UNIT.
(US$)
✅CF]]*TABLA_BASE[[#This Row],[CANTIDAD
(unid.)]]</f>
        <v>0</v>
      </c>
      <c r="O14" s="283">
        <f>IF('🧾 Tributos Aduana'!$F$6=0,0,'🧾 Tributos Aduana'!$F$23*('🧾 Factura Comercial'!H16/'🧾 Tributos Aduana'!$F$6))</f>
        <v>0</v>
      </c>
      <c r="P14" s="283">
        <f>TABLA_BASE[[#This Row],[PERCEP.
UNIT.(US$)
✅CF]]*TABLA_BASE[[#This Row],[CANTIDAD
(unid.)]]</f>
        <v>0</v>
      </c>
      <c r="Q14" s="282">
        <f>TABLA_BASE[[#This Row],[ADV UNIT.
(US$)
⚠️COSTO]]+TABLA_BASE[[#This Row],[IPM UNIT.
(US$)
✅CF]]+TABLA_BASE[[#This Row],[IGV UNIT.
(US$)
✅CF]]</f>
        <v>0</v>
      </c>
      <c r="R14" s="283">
        <f>TABLA_BASE[[#This Row],[DEUDA
ADUANERA
UNIT.]]*TABLA_BASE[[#This Row],[CANTIDAD
(unid.)]]</f>
        <v>0</v>
      </c>
      <c r="S14" s="284">
        <f>TABLA_BASE[[#This Row],[ADV UNIT.
(US$)
⚠️COSTO]]*'📋 Datos Generales'!$E$19</f>
        <v>0</v>
      </c>
      <c r="T14" s="284">
        <f>TABLA_BASE[[#This Row],[ADV UNIT.
(S/.)]]*TABLA_BASE[[#This Row],[CANTIDAD
(unid.)]]</f>
        <v>0</v>
      </c>
      <c r="U14" s="284">
        <f>TABLA_BASE[[#This Row],[IPM UNIT.
(US$)
✅CF]]*'📋 Datos Generales'!$E$19</f>
        <v>0</v>
      </c>
      <c r="V14" s="284">
        <f>TABLA_BASE[[#This Row],[IPM UNIT.
(S/.)]]*TABLA_BASE[[#This Row],[CANTIDAD
(unid.)]]</f>
        <v>0</v>
      </c>
      <c r="W14" s="284">
        <f>TABLA_BASE[[#This Row],[IGV UNIT.
(US$)
✅CF]]*'📋 Datos Generales'!$E$19</f>
        <v>0</v>
      </c>
      <c r="X14" s="284">
        <f>TABLA_BASE[[#This Row],[IGV UNIT.
(S/.)]]*TABLA_BASE[[#This Row],[CANTIDAD
(unid.)]]</f>
        <v>0</v>
      </c>
      <c r="Y14" s="284">
        <f>TABLA_BASE[[#This Row],[PERCEP.
UNIT.(US$)
✅CF]]*'📋 Datos Generales'!$E$19</f>
        <v>0</v>
      </c>
      <c r="Z14" s="284">
        <f>TABLA_BASE[[#This Row],[PERCEP.
UNIT.(S/.)]]*TABLA_BASE[[#This Row],[CANTIDAD
(unid.)]]</f>
        <v>0</v>
      </c>
      <c r="AA14" s="282">
        <f>TABLA_BASE[[#This Row],[ADV UNIT.
(US$)
⚠️COSTO]]+TABLA_BASE[[#This Row],[IPM UNIT.
(US$)
✅CF]]+TABLA_BASE[[#This Row],[IGV UNIT.
(US$)
✅CF]]+TABLA_BASE[[#This Row],[PERCEP.
UNIT.(US$)
✅CF]]</f>
        <v>0</v>
      </c>
      <c r="AB14" s="282">
        <f>TABLA_BASE[[#This Row],[TOTAL PAGO
SUNAT
UNIT.(US$)]]*TABLA_BASE[[#This Row],[CANTIDAD
(unid.)]]</f>
        <v>0</v>
      </c>
      <c r="AC14" s="284">
        <f>TABLA_BASE[[#This Row],[TOTAL PAGO
SUNAT
UNIT.(US$)]]*'📋 Datos Generales'!$E$19</f>
        <v>0</v>
      </c>
      <c r="AD14" s="284">
        <f>TABLA_BASE[[#This Row],[TOTAL TRIB.
UNIT.(S/.)]]*TABLA_BASE[[#This Row],[CANTIDAD
(unid.)]]</f>
        <v>0</v>
      </c>
      <c r="AE14" s="282">
        <f>IF('🧾 Factura Comercial'!G16=0,0,'📦 Gastos Importación'!$E$28*(IF('🧾 Tributos Aduana'!$F$6=0,0,'🧾 Factura Comercial'!I16/'🧾 Tributos Aduana'!$F$6))/'🧾 Factura Comercial'!G16)</f>
        <v>0</v>
      </c>
      <c r="AF14" s="282">
        <f>TABLA_BASE[[#This Row],[GASTOS IMP.
UNIT.(US$)]]*TABLA_BASE[[#This Row],[CANTIDAD
(unid.)]]</f>
        <v>0</v>
      </c>
      <c r="AG14" s="284">
        <f>TABLA_BASE[[#This Row],[GASTOS IMP.
UNIT.(US$)]]*'📋 Datos Generales'!$E$19</f>
        <v>0</v>
      </c>
      <c r="AH14" s="284">
        <f>TABLA_BASE[[#This Row],[GASTOS IMP.
UNIT.(S/.)]]*TABLA_BASE[[#This Row],[CANTIDAD
(unid.)]]</f>
        <v>0</v>
      </c>
      <c r="AI14" s="283">
        <f>'🧮 Costos x Producto'!J18</f>
        <v>0</v>
      </c>
      <c r="AJ14" s="282">
        <f>'🧮 Costos x Producto'!K18</f>
        <v>0</v>
      </c>
      <c r="AK14" s="282">
        <f>IF('🧾 Factura Comercial'!G16=0,0,'🧾 Tributos Aduana'!$F$17*(IF('🧾 Tributos Aduana'!$F$6=0,0,'🧾 Factura Comercial'!I16/'🧾 Tributos Aduana'!$F$6))/'🧾 Factura Comercial'!G16)</f>
        <v>0</v>
      </c>
      <c r="AL14" s="282">
        <f>IF('🧾 Factura Comercial'!G16=0,0,'🏦 Crédito Fiscal'!$C$16*(IF('🧾 Tributos Aduana'!$F$6=0,0,'🧾 Factura Comercial'!I16/'🧾 Tributos Aduana'!$F$6))/'🧾 Factura Comercial'!G16)</f>
        <v>0</v>
      </c>
      <c r="AM14" s="284">
        <f>TABLA_BASE[[#This Row],[CF UNIT.
✅RECUP.
(US$)]]*'📋 Datos Generales'!$E$19</f>
        <v>0</v>
      </c>
      <c r="AN14" s="281">
        <f>TABLA_BASE[[#This Row],[CF UNIT.
✅RECUP.(S/.)]]*TABLA_BASE[[#This Row],[CANTIDAD
(unid.)]]</f>
        <v>0</v>
      </c>
      <c r="AO14" s="298">
        <f>'💰 Precio de Venta'!G19</f>
        <v>0.4</v>
      </c>
      <c r="AP14" s="284">
        <f>'💰 Precio de Venta'!H19</f>
        <v>0</v>
      </c>
      <c r="AQ14" s="284">
        <f>'💰 Precio de Venta'!I19</f>
        <v>0</v>
      </c>
      <c r="AR14" s="281">
        <f>'💰 Precio de Venta'!J19</f>
        <v>0</v>
      </c>
      <c r="AS14" s="300">
        <f>'💰 Precio de Venta'!K19</f>
        <v>0</v>
      </c>
      <c r="AT14" s="281">
        <f>TABLA_BASE[[#This Row],[GANANCIA
UNIT.(S/.)]]*'🧾 Factura Comercial'!G16</f>
        <v>0</v>
      </c>
      <c r="AU14" s="280">
        <f>IF(TABLA_BASE[[#This Row],[PRECIO VTA.
c/IGV(S/.)]]=0,0,TABLA_BASE[[#This Row],[GANANCIA
UNIT.(S/.)]]/TABLA_BASE[[#This Row],[PRECIO VTA.
c/IGV(S/.)]])</f>
        <v>0</v>
      </c>
      <c r="AV14" s="280">
        <f>IF(TABLA_BASE[[#This Row],[C/M UNIT.
(S/.)]]=0,0,TABLA_BASE[[#This Row],[GANANCIA
UNIT.(S/.)]]/TABLA_BASE[[#This Row],[C/M UNIT.
(S/.)]])</f>
        <v>0</v>
      </c>
      <c r="AW14" s="277" t="str">
        <f>IF(TABLA_BASE[[#This Row],[MARGEN
%]]&gt;=0.5,"🟢 ALTO",IF(TABLA_BASE[[#This Row],[MARGEN
%]]&gt;=0.3,"🟡 MEDIO","🔴 BAJO"))</f>
        <v>🟡 MEDIO</v>
      </c>
    </row>
    <row r="15" spans="1:49" ht="16.5" hidden="1" thickTop="1" thickBot="1" x14ac:dyDescent="0.3">
      <c r="A15" s="277">
        <f>'🧾 Factura Comercial'!E17</f>
        <v>0</v>
      </c>
      <c r="B15" s="277" t="str">
        <f>'🧾 Factura Comercial'!F17</f>
        <v>Unid.</v>
      </c>
      <c r="C15" s="278">
        <f>'🧾 Factura Comercial'!G17</f>
        <v>0</v>
      </c>
      <c r="D15" s="279">
        <f>'🧾 Factura Comercial'!H17</f>
        <v>0</v>
      </c>
      <c r="E15" s="279">
        <f>'🧾 Factura Comercial'!I17</f>
        <v>0</v>
      </c>
      <c r="F15" s="280">
        <f>IF('🧾 Tributos Aduana'!$F$6=0,0,'🧾 Factura Comercial'!I17/'🧾 Tributos Aduana'!$F$6)</f>
        <v>0</v>
      </c>
      <c r="G15" s="281">
        <f>'🧾 Factura Comercial'!H17*'📋 Datos Generales'!$E$19</f>
        <v>0</v>
      </c>
      <c r="H15" s="281">
        <f>TABLA_BASE[[#This Row],[FOB UNIT.
(S/.)]]*TABLA_BASE[[#This Row],[CANTIDAD
(unid.)]]</f>
        <v>0</v>
      </c>
      <c r="I15" s="283">
        <f>IF('🧾 Tributos Aduana'!$F$6=0,0,'🧾 Tributos Aduana'!$F$17*('🧾 Factura Comercial'!H17/'🧾 Tributos Aduana'!$F$6))</f>
        <v>0</v>
      </c>
      <c r="J15" s="283">
        <f>TABLA_BASE[[#This Row],[ADV UNIT.
(US$)
⚠️COSTO]]*TABLA_BASE[[#This Row],[CANTIDAD
(unid.)]]</f>
        <v>0</v>
      </c>
      <c r="K15" s="282">
        <f>IF('🧾 Tributos Aduana'!$F$6=0,0,'🧾 Tributos Aduana'!$F$18*('🧾 Factura Comercial'!H17/'🧾 Tributos Aduana'!$F$6))</f>
        <v>0</v>
      </c>
      <c r="L15" s="283">
        <f>TABLA_BASE[[#This Row],[IPM UNIT.
(US$)
✅CF]]*TABLA_BASE[[#This Row],[CANTIDAD
(unid.)]]</f>
        <v>0</v>
      </c>
      <c r="M15" s="282">
        <f>IF('🧾 Tributos Aduana'!$F$6=0,0,'🧾 Tributos Aduana'!$F$19*('🧾 Factura Comercial'!H17/'🧾 Tributos Aduana'!$F$6))</f>
        <v>0</v>
      </c>
      <c r="N15" s="283">
        <f>TABLA_BASE[[#This Row],[IGV UNIT.
(US$)
✅CF]]*TABLA_BASE[[#This Row],[CANTIDAD
(unid.)]]</f>
        <v>0</v>
      </c>
      <c r="O15" s="283">
        <f>IF('🧾 Tributos Aduana'!$F$6=0,0,'🧾 Tributos Aduana'!$F$23*('🧾 Factura Comercial'!H17/'🧾 Tributos Aduana'!$F$6))</f>
        <v>0</v>
      </c>
      <c r="P15" s="283">
        <f>TABLA_BASE[[#This Row],[PERCEP.
UNIT.(US$)
✅CF]]*TABLA_BASE[[#This Row],[CANTIDAD
(unid.)]]</f>
        <v>0</v>
      </c>
      <c r="Q15" s="282">
        <f>TABLA_BASE[[#This Row],[ADV UNIT.
(US$)
⚠️COSTO]]+TABLA_BASE[[#This Row],[IPM UNIT.
(US$)
✅CF]]+TABLA_BASE[[#This Row],[IGV UNIT.
(US$)
✅CF]]</f>
        <v>0</v>
      </c>
      <c r="R15" s="283">
        <f>TABLA_BASE[[#This Row],[DEUDA
ADUANERA
UNIT.]]*TABLA_BASE[[#This Row],[CANTIDAD
(unid.)]]</f>
        <v>0</v>
      </c>
      <c r="S15" s="284">
        <f>TABLA_BASE[[#This Row],[ADV UNIT.
(US$)
⚠️COSTO]]*'📋 Datos Generales'!$E$19</f>
        <v>0</v>
      </c>
      <c r="T15" s="284">
        <f>TABLA_BASE[[#This Row],[ADV UNIT.
(S/.)]]*TABLA_BASE[[#This Row],[CANTIDAD
(unid.)]]</f>
        <v>0</v>
      </c>
      <c r="U15" s="284">
        <f>TABLA_BASE[[#This Row],[IPM UNIT.
(US$)
✅CF]]*'📋 Datos Generales'!$E$19</f>
        <v>0</v>
      </c>
      <c r="V15" s="284">
        <f>TABLA_BASE[[#This Row],[IPM UNIT.
(S/.)]]*TABLA_BASE[[#This Row],[CANTIDAD
(unid.)]]</f>
        <v>0</v>
      </c>
      <c r="W15" s="284">
        <f>TABLA_BASE[[#This Row],[IGV UNIT.
(US$)
✅CF]]*'📋 Datos Generales'!$E$19</f>
        <v>0</v>
      </c>
      <c r="X15" s="284">
        <f>TABLA_BASE[[#This Row],[IGV UNIT.
(S/.)]]*TABLA_BASE[[#This Row],[CANTIDAD
(unid.)]]</f>
        <v>0</v>
      </c>
      <c r="Y15" s="284">
        <f>TABLA_BASE[[#This Row],[PERCEP.
UNIT.(US$)
✅CF]]*'📋 Datos Generales'!$E$19</f>
        <v>0</v>
      </c>
      <c r="Z15" s="284">
        <f>TABLA_BASE[[#This Row],[PERCEP.
UNIT.(S/.)]]*TABLA_BASE[[#This Row],[CANTIDAD
(unid.)]]</f>
        <v>0</v>
      </c>
      <c r="AA15" s="282">
        <f>TABLA_BASE[[#This Row],[ADV UNIT.
(US$)
⚠️COSTO]]+TABLA_BASE[[#This Row],[IPM UNIT.
(US$)
✅CF]]+TABLA_BASE[[#This Row],[IGV UNIT.
(US$)
✅CF]]+TABLA_BASE[[#This Row],[PERCEP.
UNIT.(US$)
✅CF]]</f>
        <v>0</v>
      </c>
      <c r="AB15" s="282">
        <f>TABLA_BASE[[#This Row],[TOTAL PAGO
SUNAT
UNIT.(US$)]]*TABLA_BASE[[#This Row],[CANTIDAD
(unid.)]]</f>
        <v>0</v>
      </c>
      <c r="AC15" s="284">
        <f>TABLA_BASE[[#This Row],[TOTAL PAGO
SUNAT
UNIT.(US$)]]*'📋 Datos Generales'!$E$19</f>
        <v>0</v>
      </c>
      <c r="AD15" s="284">
        <f>TABLA_BASE[[#This Row],[TOTAL TRIB.
UNIT.(S/.)]]*TABLA_BASE[[#This Row],[CANTIDAD
(unid.)]]</f>
        <v>0</v>
      </c>
      <c r="AE15" s="282">
        <f>IF('🧾 Factura Comercial'!G17=0,0,'📦 Gastos Importación'!$E$28*(IF('🧾 Tributos Aduana'!$F$6=0,0,'🧾 Factura Comercial'!I17/'🧾 Tributos Aduana'!$F$6))/'🧾 Factura Comercial'!G17)</f>
        <v>0</v>
      </c>
      <c r="AF15" s="282">
        <f>TABLA_BASE[[#This Row],[GASTOS IMP.
UNIT.(US$)]]*TABLA_BASE[[#This Row],[CANTIDAD
(unid.)]]</f>
        <v>0</v>
      </c>
      <c r="AG15" s="284">
        <f>TABLA_BASE[[#This Row],[GASTOS IMP.
UNIT.(US$)]]*'📋 Datos Generales'!$E$19</f>
        <v>0</v>
      </c>
      <c r="AH15" s="284">
        <f>TABLA_BASE[[#This Row],[GASTOS IMP.
UNIT.(S/.)]]*TABLA_BASE[[#This Row],[CANTIDAD
(unid.)]]</f>
        <v>0</v>
      </c>
      <c r="AI15" s="283">
        <f>'🧮 Costos x Producto'!J19</f>
        <v>0</v>
      </c>
      <c r="AJ15" s="282">
        <f>'🧮 Costos x Producto'!K19</f>
        <v>0</v>
      </c>
      <c r="AK15" s="282">
        <f>IF('🧾 Factura Comercial'!G17=0,0,'🧾 Tributos Aduana'!$F$17*(IF('🧾 Tributos Aduana'!$F$6=0,0,'🧾 Factura Comercial'!I17/'🧾 Tributos Aduana'!$F$6))/'🧾 Factura Comercial'!G17)</f>
        <v>0</v>
      </c>
      <c r="AL15" s="282">
        <f>IF('🧾 Factura Comercial'!G17=0,0,'🏦 Crédito Fiscal'!$C$16*(IF('🧾 Tributos Aduana'!$F$6=0,0,'🧾 Factura Comercial'!I17/'🧾 Tributos Aduana'!$F$6))/'🧾 Factura Comercial'!G17)</f>
        <v>0</v>
      </c>
      <c r="AM15" s="284">
        <f>TABLA_BASE[[#This Row],[CF UNIT.
✅RECUP.
(US$)]]*'📋 Datos Generales'!$E$19</f>
        <v>0</v>
      </c>
      <c r="AN15" s="281">
        <f>TABLA_BASE[[#This Row],[CF UNIT.
✅RECUP.(S/.)]]*TABLA_BASE[[#This Row],[CANTIDAD
(unid.)]]</f>
        <v>0</v>
      </c>
      <c r="AO15" s="298">
        <f>'💰 Precio de Venta'!G20</f>
        <v>0.4</v>
      </c>
      <c r="AP15" s="284">
        <f>'💰 Precio de Venta'!H20</f>
        <v>0</v>
      </c>
      <c r="AQ15" s="284">
        <f>'💰 Precio de Venta'!I20</f>
        <v>0</v>
      </c>
      <c r="AR15" s="281">
        <f>'💰 Precio de Venta'!J20</f>
        <v>0</v>
      </c>
      <c r="AS15" s="300">
        <f>'💰 Precio de Venta'!K20</f>
        <v>0</v>
      </c>
      <c r="AT15" s="281">
        <f>TABLA_BASE[[#This Row],[GANANCIA
UNIT.(S/.)]]*'🧾 Factura Comercial'!G17</f>
        <v>0</v>
      </c>
      <c r="AU15" s="280">
        <f>IF(TABLA_BASE[[#This Row],[PRECIO VTA.
c/IGV(S/.)]]=0,0,TABLA_BASE[[#This Row],[GANANCIA
UNIT.(S/.)]]/TABLA_BASE[[#This Row],[PRECIO VTA.
c/IGV(S/.)]])</f>
        <v>0</v>
      </c>
      <c r="AV15" s="280">
        <f>IF(TABLA_BASE[[#This Row],[C/M UNIT.
(S/.)]]=0,0,TABLA_BASE[[#This Row],[GANANCIA
UNIT.(S/.)]]/TABLA_BASE[[#This Row],[C/M UNIT.
(S/.)]])</f>
        <v>0</v>
      </c>
      <c r="AW15" s="277" t="str">
        <f>IF(TABLA_BASE[[#This Row],[MARGEN
%]]&gt;=0.5,"🟢 ALTO",IF(TABLA_BASE[[#This Row],[MARGEN
%]]&gt;=0.3,"🟡 MEDIO","🔴 BAJO"))</f>
        <v>🟡 MEDIO</v>
      </c>
    </row>
    <row r="16" spans="1:49" ht="16.5" hidden="1" thickTop="1" thickBot="1" x14ac:dyDescent="0.3">
      <c r="A16" s="277">
        <f>'🧾 Factura Comercial'!E18</f>
        <v>0</v>
      </c>
      <c r="B16" s="277" t="str">
        <f>'🧾 Factura Comercial'!F18</f>
        <v>Unid.</v>
      </c>
      <c r="C16" s="278">
        <f>'🧾 Factura Comercial'!G18</f>
        <v>0</v>
      </c>
      <c r="D16" s="279">
        <f>'🧾 Factura Comercial'!H18</f>
        <v>0</v>
      </c>
      <c r="E16" s="279">
        <f>'🧾 Factura Comercial'!I18</f>
        <v>0</v>
      </c>
      <c r="F16" s="280">
        <f>IF('🧾 Tributos Aduana'!$F$6=0,0,'🧾 Factura Comercial'!I18/'🧾 Tributos Aduana'!$F$6)</f>
        <v>0</v>
      </c>
      <c r="G16" s="281">
        <f>'🧾 Factura Comercial'!H18*'📋 Datos Generales'!$E$19</f>
        <v>0</v>
      </c>
      <c r="H16" s="281">
        <f>TABLA_BASE[[#This Row],[FOB UNIT.
(S/.)]]*TABLA_BASE[[#This Row],[CANTIDAD
(unid.)]]</f>
        <v>0</v>
      </c>
      <c r="I16" s="283">
        <f>IF('🧾 Tributos Aduana'!$F$6=0,0,'🧾 Tributos Aduana'!$F$17*('🧾 Factura Comercial'!H18/'🧾 Tributos Aduana'!$F$6))</f>
        <v>0</v>
      </c>
      <c r="J16" s="283">
        <f>TABLA_BASE[[#This Row],[ADV UNIT.
(US$)
⚠️COSTO]]*TABLA_BASE[[#This Row],[CANTIDAD
(unid.)]]</f>
        <v>0</v>
      </c>
      <c r="K16" s="282">
        <f>IF('🧾 Tributos Aduana'!$F$6=0,0,'🧾 Tributos Aduana'!$F$18*('🧾 Factura Comercial'!H18/'🧾 Tributos Aduana'!$F$6))</f>
        <v>0</v>
      </c>
      <c r="L16" s="283">
        <f>TABLA_BASE[[#This Row],[IPM UNIT.
(US$)
✅CF]]*TABLA_BASE[[#This Row],[CANTIDAD
(unid.)]]</f>
        <v>0</v>
      </c>
      <c r="M16" s="282">
        <f>IF('🧾 Tributos Aduana'!$F$6=0,0,'🧾 Tributos Aduana'!$F$19*('🧾 Factura Comercial'!H18/'🧾 Tributos Aduana'!$F$6))</f>
        <v>0</v>
      </c>
      <c r="N16" s="283">
        <f>TABLA_BASE[[#This Row],[IGV UNIT.
(US$)
✅CF]]*TABLA_BASE[[#This Row],[CANTIDAD
(unid.)]]</f>
        <v>0</v>
      </c>
      <c r="O16" s="283">
        <f>IF('🧾 Tributos Aduana'!$F$6=0,0,'🧾 Tributos Aduana'!$F$23*('🧾 Factura Comercial'!H18/'🧾 Tributos Aduana'!$F$6))</f>
        <v>0</v>
      </c>
      <c r="P16" s="283">
        <f>TABLA_BASE[[#This Row],[PERCEP.
UNIT.(US$)
✅CF]]*TABLA_BASE[[#This Row],[CANTIDAD
(unid.)]]</f>
        <v>0</v>
      </c>
      <c r="Q16" s="282">
        <f>TABLA_BASE[[#This Row],[ADV UNIT.
(US$)
⚠️COSTO]]+TABLA_BASE[[#This Row],[IPM UNIT.
(US$)
✅CF]]+TABLA_BASE[[#This Row],[IGV UNIT.
(US$)
✅CF]]</f>
        <v>0</v>
      </c>
      <c r="R16" s="283">
        <f>TABLA_BASE[[#This Row],[DEUDA
ADUANERA
UNIT.]]*TABLA_BASE[[#This Row],[CANTIDAD
(unid.)]]</f>
        <v>0</v>
      </c>
      <c r="S16" s="284">
        <f>TABLA_BASE[[#This Row],[ADV UNIT.
(US$)
⚠️COSTO]]*'📋 Datos Generales'!$E$19</f>
        <v>0</v>
      </c>
      <c r="T16" s="284">
        <f>TABLA_BASE[[#This Row],[ADV UNIT.
(S/.)]]*TABLA_BASE[[#This Row],[CANTIDAD
(unid.)]]</f>
        <v>0</v>
      </c>
      <c r="U16" s="284">
        <f>TABLA_BASE[[#This Row],[IPM UNIT.
(US$)
✅CF]]*'📋 Datos Generales'!$E$19</f>
        <v>0</v>
      </c>
      <c r="V16" s="284">
        <f>TABLA_BASE[[#This Row],[IPM UNIT.
(S/.)]]*TABLA_BASE[[#This Row],[CANTIDAD
(unid.)]]</f>
        <v>0</v>
      </c>
      <c r="W16" s="284">
        <f>TABLA_BASE[[#This Row],[IGV UNIT.
(US$)
✅CF]]*'📋 Datos Generales'!$E$19</f>
        <v>0</v>
      </c>
      <c r="X16" s="284">
        <f>TABLA_BASE[[#This Row],[IGV UNIT.
(S/.)]]*TABLA_BASE[[#This Row],[CANTIDAD
(unid.)]]</f>
        <v>0</v>
      </c>
      <c r="Y16" s="284">
        <f>TABLA_BASE[[#This Row],[PERCEP.
UNIT.(US$)
✅CF]]*'📋 Datos Generales'!$E$19</f>
        <v>0</v>
      </c>
      <c r="Z16" s="284">
        <f>TABLA_BASE[[#This Row],[PERCEP.
UNIT.(S/.)]]*TABLA_BASE[[#This Row],[CANTIDAD
(unid.)]]</f>
        <v>0</v>
      </c>
      <c r="AA16" s="282">
        <f>TABLA_BASE[[#This Row],[ADV UNIT.
(US$)
⚠️COSTO]]+TABLA_BASE[[#This Row],[IPM UNIT.
(US$)
✅CF]]+TABLA_BASE[[#This Row],[IGV UNIT.
(US$)
✅CF]]+TABLA_BASE[[#This Row],[PERCEP.
UNIT.(US$)
✅CF]]</f>
        <v>0</v>
      </c>
      <c r="AB16" s="282">
        <f>TABLA_BASE[[#This Row],[TOTAL PAGO
SUNAT
UNIT.(US$)]]*TABLA_BASE[[#This Row],[CANTIDAD
(unid.)]]</f>
        <v>0</v>
      </c>
      <c r="AC16" s="284">
        <f>TABLA_BASE[[#This Row],[TOTAL PAGO
SUNAT
UNIT.(US$)]]*'📋 Datos Generales'!$E$19</f>
        <v>0</v>
      </c>
      <c r="AD16" s="284">
        <f>TABLA_BASE[[#This Row],[TOTAL TRIB.
UNIT.(S/.)]]*TABLA_BASE[[#This Row],[CANTIDAD
(unid.)]]</f>
        <v>0</v>
      </c>
      <c r="AE16" s="282">
        <f>IF('🧾 Factura Comercial'!G18=0,0,'📦 Gastos Importación'!$E$28*(IF('🧾 Tributos Aduana'!$F$6=0,0,'🧾 Factura Comercial'!I18/'🧾 Tributos Aduana'!$F$6))/'🧾 Factura Comercial'!G18)</f>
        <v>0</v>
      </c>
      <c r="AF16" s="282">
        <f>TABLA_BASE[[#This Row],[GASTOS IMP.
UNIT.(US$)]]*TABLA_BASE[[#This Row],[CANTIDAD
(unid.)]]</f>
        <v>0</v>
      </c>
      <c r="AG16" s="284">
        <f>TABLA_BASE[[#This Row],[GASTOS IMP.
UNIT.(US$)]]*'📋 Datos Generales'!$E$19</f>
        <v>0</v>
      </c>
      <c r="AH16" s="284">
        <f>TABLA_BASE[[#This Row],[GASTOS IMP.
UNIT.(S/.)]]*TABLA_BASE[[#This Row],[CANTIDAD
(unid.)]]</f>
        <v>0</v>
      </c>
      <c r="AI16" s="283">
        <f>'🧮 Costos x Producto'!J20</f>
        <v>0</v>
      </c>
      <c r="AJ16" s="282">
        <f>'🧮 Costos x Producto'!K20</f>
        <v>0</v>
      </c>
      <c r="AK16" s="282">
        <f>IF('🧾 Factura Comercial'!G18=0,0,'🧾 Tributos Aduana'!$F$17*(IF('🧾 Tributos Aduana'!$F$6=0,0,'🧾 Factura Comercial'!I18/'🧾 Tributos Aduana'!$F$6))/'🧾 Factura Comercial'!G18)</f>
        <v>0</v>
      </c>
      <c r="AL16" s="282">
        <f>IF('🧾 Factura Comercial'!G18=0,0,'🏦 Crédito Fiscal'!$C$16*(IF('🧾 Tributos Aduana'!$F$6=0,0,'🧾 Factura Comercial'!I18/'🧾 Tributos Aduana'!$F$6))/'🧾 Factura Comercial'!G18)</f>
        <v>0</v>
      </c>
      <c r="AM16" s="284">
        <f>TABLA_BASE[[#This Row],[CF UNIT.
✅RECUP.
(US$)]]*'📋 Datos Generales'!$E$19</f>
        <v>0</v>
      </c>
      <c r="AN16" s="281">
        <f>TABLA_BASE[[#This Row],[CF UNIT.
✅RECUP.(S/.)]]*TABLA_BASE[[#This Row],[CANTIDAD
(unid.)]]</f>
        <v>0</v>
      </c>
      <c r="AO16" s="298">
        <f>'💰 Precio de Venta'!G21</f>
        <v>0.4</v>
      </c>
      <c r="AP16" s="284">
        <f>'💰 Precio de Venta'!H21</f>
        <v>0</v>
      </c>
      <c r="AQ16" s="284">
        <f>'💰 Precio de Venta'!I21</f>
        <v>0</v>
      </c>
      <c r="AR16" s="281">
        <f>'💰 Precio de Venta'!J21</f>
        <v>0</v>
      </c>
      <c r="AS16" s="300">
        <f>'💰 Precio de Venta'!K21</f>
        <v>0</v>
      </c>
      <c r="AT16" s="281">
        <f>TABLA_BASE[[#This Row],[GANANCIA
UNIT.(S/.)]]*'🧾 Factura Comercial'!G18</f>
        <v>0</v>
      </c>
      <c r="AU16" s="280">
        <f>IF(TABLA_BASE[[#This Row],[PRECIO VTA.
c/IGV(S/.)]]=0,0,TABLA_BASE[[#This Row],[GANANCIA
UNIT.(S/.)]]/TABLA_BASE[[#This Row],[PRECIO VTA.
c/IGV(S/.)]])</f>
        <v>0</v>
      </c>
      <c r="AV16" s="280">
        <f>IF(TABLA_BASE[[#This Row],[C/M UNIT.
(S/.)]]=0,0,TABLA_BASE[[#This Row],[GANANCIA
UNIT.(S/.)]]/TABLA_BASE[[#This Row],[C/M UNIT.
(S/.)]])</f>
        <v>0</v>
      </c>
      <c r="AW16" s="277" t="str">
        <f>IF(TABLA_BASE[[#This Row],[MARGEN
%]]&gt;=0.5,"🟢 ALTO",IF(TABLA_BASE[[#This Row],[MARGEN
%]]&gt;=0.3,"🟡 MEDIO","🔴 BAJO"))</f>
        <v>🟡 MEDIO</v>
      </c>
    </row>
    <row r="17" spans="1:49" ht="16.5" hidden="1" thickTop="1" thickBot="1" x14ac:dyDescent="0.3">
      <c r="A17" s="277">
        <f>'🧾 Factura Comercial'!E19</f>
        <v>0</v>
      </c>
      <c r="B17" s="277" t="str">
        <f>'🧾 Factura Comercial'!F19</f>
        <v>Unid.</v>
      </c>
      <c r="C17" s="278">
        <f>'🧾 Factura Comercial'!G19</f>
        <v>0</v>
      </c>
      <c r="D17" s="279">
        <f>'🧾 Factura Comercial'!H19</f>
        <v>0</v>
      </c>
      <c r="E17" s="279">
        <f>'🧾 Factura Comercial'!I19</f>
        <v>0</v>
      </c>
      <c r="F17" s="280">
        <f>IF('🧾 Tributos Aduana'!$F$6=0,0,'🧾 Factura Comercial'!I19/'🧾 Tributos Aduana'!$F$6)</f>
        <v>0</v>
      </c>
      <c r="G17" s="281">
        <f>'🧾 Factura Comercial'!H19*'📋 Datos Generales'!$E$19</f>
        <v>0</v>
      </c>
      <c r="H17" s="281">
        <f>TABLA_BASE[[#This Row],[FOB UNIT.
(S/.)]]*TABLA_BASE[[#This Row],[CANTIDAD
(unid.)]]</f>
        <v>0</v>
      </c>
      <c r="I17" s="283">
        <f>IF('🧾 Tributos Aduana'!$F$6=0,0,'🧾 Tributos Aduana'!$F$17*('🧾 Factura Comercial'!H19/'🧾 Tributos Aduana'!$F$6))</f>
        <v>0</v>
      </c>
      <c r="J17" s="283">
        <f>TABLA_BASE[[#This Row],[ADV UNIT.
(US$)
⚠️COSTO]]*TABLA_BASE[[#This Row],[CANTIDAD
(unid.)]]</f>
        <v>0</v>
      </c>
      <c r="K17" s="282">
        <f>IF('🧾 Tributos Aduana'!$F$6=0,0,'🧾 Tributos Aduana'!$F$18*('🧾 Factura Comercial'!H19/'🧾 Tributos Aduana'!$F$6))</f>
        <v>0</v>
      </c>
      <c r="L17" s="283">
        <f>TABLA_BASE[[#This Row],[IPM UNIT.
(US$)
✅CF]]*TABLA_BASE[[#This Row],[CANTIDAD
(unid.)]]</f>
        <v>0</v>
      </c>
      <c r="M17" s="282">
        <f>IF('🧾 Tributos Aduana'!$F$6=0,0,'🧾 Tributos Aduana'!$F$19*('🧾 Factura Comercial'!H19/'🧾 Tributos Aduana'!$F$6))</f>
        <v>0</v>
      </c>
      <c r="N17" s="283">
        <f>TABLA_BASE[[#This Row],[IGV UNIT.
(US$)
✅CF]]*TABLA_BASE[[#This Row],[CANTIDAD
(unid.)]]</f>
        <v>0</v>
      </c>
      <c r="O17" s="283">
        <f>IF('🧾 Tributos Aduana'!$F$6=0,0,'🧾 Tributos Aduana'!$F$23*('🧾 Factura Comercial'!H19/'🧾 Tributos Aduana'!$F$6))</f>
        <v>0</v>
      </c>
      <c r="P17" s="283">
        <f>TABLA_BASE[[#This Row],[PERCEP.
UNIT.(US$)
✅CF]]*TABLA_BASE[[#This Row],[CANTIDAD
(unid.)]]</f>
        <v>0</v>
      </c>
      <c r="Q17" s="282">
        <f>TABLA_BASE[[#This Row],[ADV UNIT.
(US$)
⚠️COSTO]]+TABLA_BASE[[#This Row],[IPM UNIT.
(US$)
✅CF]]+TABLA_BASE[[#This Row],[IGV UNIT.
(US$)
✅CF]]</f>
        <v>0</v>
      </c>
      <c r="R17" s="283">
        <f>TABLA_BASE[[#This Row],[DEUDA
ADUANERA
UNIT.]]*TABLA_BASE[[#This Row],[CANTIDAD
(unid.)]]</f>
        <v>0</v>
      </c>
      <c r="S17" s="284">
        <f>TABLA_BASE[[#This Row],[ADV UNIT.
(US$)
⚠️COSTO]]*'📋 Datos Generales'!$E$19</f>
        <v>0</v>
      </c>
      <c r="T17" s="284">
        <f>TABLA_BASE[[#This Row],[ADV UNIT.
(S/.)]]*TABLA_BASE[[#This Row],[CANTIDAD
(unid.)]]</f>
        <v>0</v>
      </c>
      <c r="U17" s="284">
        <f>TABLA_BASE[[#This Row],[IPM UNIT.
(US$)
✅CF]]*'📋 Datos Generales'!$E$19</f>
        <v>0</v>
      </c>
      <c r="V17" s="284">
        <f>TABLA_BASE[[#This Row],[IPM UNIT.
(S/.)]]*TABLA_BASE[[#This Row],[CANTIDAD
(unid.)]]</f>
        <v>0</v>
      </c>
      <c r="W17" s="284">
        <f>TABLA_BASE[[#This Row],[IGV UNIT.
(US$)
✅CF]]*'📋 Datos Generales'!$E$19</f>
        <v>0</v>
      </c>
      <c r="X17" s="284">
        <f>TABLA_BASE[[#This Row],[IGV UNIT.
(S/.)]]*TABLA_BASE[[#This Row],[CANTIDAD
(unid.)]]</f>
        <v>0</v>
      </c>
      <c r="Y17" s="284">
        <f>TABLA_BASE[[#This Row],[PERCEP.
UNIT.(US$)
✅CF]]*'📋 Datos Generales'!$E$19</f>
        <v>0</v>
      </c>
      <c r="Z17" s="284">
        <f>TABLA_BASE[[#This Row],[PERCEP.
UNIT.(S/.)]]*TABLA_BASE[[#This Row],[CANTIDAD
(unid.)]]</f>
        <v>0</v>
      </c>
      <c r="AA17" s="282">
        <f>TABLA_BASE[[#This Row],[ADV UNIT.
(US$)
⚠️COSTO]]+TABLA_BASE[[#This Row],[IPM UNIT.
(US$)
✅CF]]+TABLA_BASE[[#This Row],[IGV UNIT.
(US$)
✅CF]]+TABLA_BASE[[#This Row],[PERCEP.
UNIT.(US$)
✅CF]]</f>
        <v>0</v>
      </c>
      <c r="AB17" s="282">
        <f>TABLA_BASE[[#This Row],[TOTAL PAGO
SUNAT
UNIT.(US$)]]*TABLA_BASE[[#This Row],[CANTIDAD
(unid.)]]</f>
        <v>0</v>
      </c>
      <c r="AC17" s="284">
        <f>TABLA_BASE[[#This Row],[TOTAL PAGO
SUNAT
UNIT.(US$)]]*'📋 Datos Generales'!$E$19</f>
        <v>0</v>
      </c>
      <c r="AD17" s="284">
        <f>TABLA_BASE[[#This Row],[TOTAL TRIB.
UNIT.(S/.)]]*TABLA_BASE[[#This Row],[CANTIDAD
(unid.)]]</f>
        <v>0</v>
      </c>
      <c r="AE17" s="282">
        <f>IF('🧾 Factura Comercial'!G19=0,0,'📦 Gastos Importación'!$E$28*(IF('🧾 Tributos Aduana'!$F$6=0,0,'🧾 Factura Comercial'!I19/'🧾 Tributos Aduana'!$F$6))/'🧾 Factura Comercial'!G19)</f>
        <v>0</v>
      </c>
      <c r="AF17" s="282">
        <f>TABLA_BASE[[#This Row],[GASTOS IMP.
UNIT.(US$)]]*TABLA_BASE[[#This Row],[CANTIDAD
(unid.)]]</f>
        <v>0</v>
      </c>
      <c r="AG17" s="284">
        <f>TABLA_BASE[[#This Row],[GASTOS IMP.
UNIT.(US$)]]*'📋 Datos Generales'!$E$19</f>
        <v>0</v>
      </c>
      <c r="AH17" s="284">
        <f>TABLA_BASE[[#This Row],[GASTOS IMP.
UNIT.(S/.)]]*TABLA_BASE[[#This Row],[CANTIDAD
(unid.)]]</f>
        <v>0</v>
      </c>
      <c r="AI17" s="283">
        <f>'🧮 Costos x Producto'!J21</f>
        <v>0</v>
      </c>
      <c r="AJ17" s="282">
        <f>'🧮 Costos x Producto'!K21</f>
        <v>0</v>
      </c>
      <c r="AK17" s="282">
        <f>IF('🧾 Factura Comercial'!G19=0,0,'🧾 Tributos Aduana'!$F$17*(IF('🧾 Tributos Aduana'!$F$6=0,0,'🧾 Factura Comercial'!I19/'🧾 Tributos Aduana'!$F$6))/'🧾 Factura Comercial'!G19)</f>
        <v>0</v>
      </c>
      <c r="AL17" s="282">
        <f>IF('🧾 Factura Comercial'!G19=0,0,'🏦 Crédito Fiscal'!$C$16*(IF('🧾 Tributos Aduana'!$F$6=0,0,'🧾 Factura Comercial'!I19/'🧾 Tributos Aduana'!$F$6))/'🧾 Factura Comercial'!G19)</f>
        <v>0</v>
      </c>
      <c r="AM17" s="284">
        <f>TABLA_BASE[[#This Row],[CF UNIT.
✅RECUP.
(US$)]]*'📋 Datos Generales'!$E$19</f>
        <v>0</v>
      </c>
      <c r="AN17" s="281">
        <f>TABLA_BASE[[#This Row],[CF UNIT.
✅RECUP.(S/.)]]*TABLA_BASE[[#This Row],[CANTIDAD
(unid.)]]</f>
        <v>0</v>
      </c>
      <c r="AO17" s="298">
        <f>'💰 Precio de Venta'!G22</f>
        <v>0.4</v>
      </c>
      <c r="AP17" s="284">
        <f>'💰 Precio de Venta'!H22</f>
        <v>0</v>
      </c>
      <c r="AQ17" s="284">
        <f>'💰 Precio de Venta'!I22</f>
        <v>0</v>
      </c>
      <c r="AR17" s="281">
        <f>'💰 Precio de Venta'!J22</f>
        <v>0</v>
      </c>
      <c r="AS17" s="300">
        <f>'💰 Precio de Venta'!K22</f>
        <v>0</v>
      </c>
      <c r="AT17" s="281">
        <f>TABLA_BASE[[#This Row],[GANANCIA
UNIT.(S/.)]]*'🧾 Factura Comercial'!G19</f>
        <v>0</v>
      </c>
      <c r="AU17" s="280">
        <f>IF(TABLA_BASE[[#This Row],[PRECIO VTA.
c/IGV(S/.)]]=0,0,TABLA_BASE[[#This Row],[GANANCIA
UNIT.(S/.)]]/TABLA_BASE[[#This Row],[PRECIO VTA.
c/IGV(S/.)]])</f>
        <v>0</v>
      </c>
      <c r="AV17" s="280">
        <f>IF(TABLA_BASE[[#This Row],[C/M UNIT.
(S/.)]]=0,0,TABLA_BASE[[#This Row],[GANANCIA
UNIT.(S/.)]]/TABLA_BASE[[#This Row],[C/M UNIT.
(S/.)]])</f>
        <v>0</v>
      </c>
      <c r="AW17" s="277" t="str">
        <f>IF(TABLA_BASE[[#This Row],[MARGEN
%]]&gt;=0.5,"🟢 ALTO",IF(TABLA_BASE[[#This Row],[MARGEN
%]]&gt;=0.3,"🟡 MEDIO","🔴 BAJO"))</f>
        <v>🟡 MEDIO</v>
      </c>
    </row>
    <row r="18" spans="1:49" ht="16.5" hidden="1" thickTop="1" thickBot="1" x14ac:dyDescent="0.3">
      <c r="A18" s="277">
        <f>'🧾 Factura Comercial'!E20</f>
        <v>0</v>
      </c>
      <c r="B18" s="277" t="str">
        <f>'🧾 Factura Comercial'!F20</f>
        <v>Unid.</v>
      </c>
      <c r="C18" s="278">
        <f>'🧾 Factura Comercial'!G20</f>
        <v>0</v>
      </c>
      <c r="D18" s="279">
        <f>'🧾 Factura Comercial'!H20</f>
        <v>0</v>
      </c>
      <c r="E18" s="279">
        <f>'🧾 Factura Comercial'!I20</f>
        <v>0</v>
      </c>
      <c r="F18" s="280">
        <f>IF('🧾 Tributos Aduana'!$F$6=0,0,'🧾 Factura Comercial'!I20/'🧾 Tributos Aduana'!$F$6)</f>
        <v>0</v>
      </c>
      <c r="G18" s="281">
        <f>'🧾 Factura Comercial'!H20*'📋 Datos Generales'!$E$19</f>
        <v>0</v>
      </c>
      <c r="H18" s="281">
        <f>TABLA_BASE[[#This Row],[FOB UNIT.
(S/.)]]*TABLA_BASE[[#This Row],[CANTIDAD
(unid.)]]</f>
        <v>0</v>
      </c>
      <c r="I18" s="283">
        <f>IF('🧾 Tributos Aduana'!$F$6=0,0,'🧾 Tributos Aduana'!$F$17*('🧾 Factura Comercial'!H20/'🧾 Tributos Aduana'!$F$6))</f>
        <v>0</v>
      </c>
      <c r="J18" s="283">
        <f>TABLA_BASE[[#This Row],[ADV UNIT.
(US$)
⚠️COSTO]]*TABLA_BASE[[#This Row],[CANTIDAD
(unid.)]]</f>
        <v>0</v>
      </c>
      <c r="K18" s="282">
        <f>IF('🧾 Tributos Aduana'!$F$6=0,0,'🧾 Tributos Aduana'!$F$18*('🧾 Factura Comercial'!H20/'🧾 Tributos Aduana'!$F$6))</f>
        <v>0</v>
      </c>
      <c r="L18" s="283">
        <f>TABLA_BASE[[#This Row],[IPM UNIT.
(US$)
✅CF]]*TABLA_BASE[[#This Row],[CANTIDAD
(unid.)]]</f>
        <v>0</v>
      </c>
      <c r="M18" s="282">
        <f>IF('🧾 Tributos Aduana'!$F$6=0,0,'🧾 Tributos Aduana'!$F$19*('🧾 Factura Comercial'!H20/'🧾 Tributos Aduana'!$F$6))</f>
        <v>0</v>
      </c>
      <c r="N18" s="283">
        <f>TABLA_BASE[[#This Row],[IGV UNIT.
(US$)
✅CF]]*TABLA_BASE[[#This Row],[CANTIDAD
(unid.)]]</f>
        <v>0</v>
      </c>
      <c r="O18" s="283">
        <f>IF('🧾 Tributos Aduana'!$F$6=0,0,'🧾 Tributos Aduana'!$F$23*('🧾 Factura Comercial'!H20/'🧾 Tributos Aduana'!$F$6))</f>
        <v>0</v>
      </c>
      <c r="P18" s="283">
        <f>TABLA_BASE[[#This Row],[PERCEP.
UNIT.(US$)
✅CF]]*TABLA_BASE[[#This Row],[CANTIDAD
(unid.)]]</f>
        <v>0</v>
      </c>
      <c r="Q18" s="282">
        <f>TABLA_BASE[[#This Row],[ADV UNIT.
(US$)
⚠️COSTO]]+TABLA_BASE[[#This Row],[IPM UNIT.
(US$)
✅CF]]+TABLA_BASE[[#This Row],[IGV UNIT.
(US$)
✅CF]]</f>
        <v>0</v>
      </c>
      <c r="R18" s="283">
        <f>TABLA_BASE[[#This Row],[DEUDA
ADUANERA
UNIT.]]*TABLA_BASE[[#This Row],[CANTIDAD
(unid.)]]</f>
        <v>0</v>
      </c>
      <c r="S18" s="284">
        <f>TABLA_BASE[[#This Row],[ADV UNIT.
(US$)
⚠️COSTO]]*'📋 Datos Generales'!$E$19</f>
        <v>0</v>
      </c>
      <c r="T18" s="284">
        <f>TABLA_BASE[[#This Row],[ADV UNIT.
(S/.)]]*TABLA_BASE[[#This Row],[CANTIDAD
(unid.)]]</f>
        <v>0</v>
      </c>
      <c r="U18" s="284">
        <f>TABLA_BASE[[#This Row],[IPM UNIT.
(US$)
✅CF]]*'📋 Datos Generales'!$E$19</f>
        <v>0</v>
      </c>
      <c r="V18" s="284">
        <f>TABLA_BASE[[#This Row],[IPM UNIT.
(S/.)]]*TABLA_BASE[[#This Row],[CANTIDAD
(unid.)]]</f>
        <v>0</v>
      </c>
      <c r="W18" s="284">
        <f>TABLA_BASE[[#This Row],[IGV UNIT.
(US$)
✅CF]]*'📋 Datos Generales'!$E$19</f>
        <v>0</v>
      </c>
      <c r="X18" s="284">
        <f>TABLA_BASE[[#This Row],[IGV UNIT.
(S/.)]]*TABLA_BASE[[#This Row],[CANTIDAD
(unid.)]]</f>
        <v>0</v>
      </c>
      <c r="Y18" s="284">
        <f>TABLA_BASE[[#This Row],[PERCEP.
UNIT.(US$)
✅CF]]*'📋 Datos Generales'!$E$19</f>
        <v>0</v>
      </c>
      <c r="Z18" s="284">
        <f>TABLA_BASE[[#This Row],[PERCEP.
UNIT.(S/.)]]*TABLA_BASE[[#This Row],[CANTIDAD
(unid.)]]</f>
        <v>0</v>
      </c>
      <c r="AA18" s="282">
        <f>TABLA_BASE[[#This Row],[ADV UNIT.
(US$)
⚠️COSTO]]+TABLA_BASE[[#This Row],[IPM UNIT.
(US$)
✅CF]]+TABLA_BASE[[#This Row],[IGV UNIT.
(US$)
✅CF]]+TABLA_BASE[[#This Row],[PERCEP.
UNIT.(US$)
✅CF]]</f>
        <v>0</v>
      </c>
      <c r="AB18" s="282">
        <f>TABLA_BASE[[#This Row],[TOTAL PAGO
SUNAT
UNIT.(US$)]]*TABLA_BASE[[#This Row],[CANTIDAD
(unid.)]]</f>
        <v>0</v>
      </c>
      <c r="AC18" s="284">
        <f>TABLA_BASE[[#This Row],[TOTAL PAGO
SUNAT
UNIT.(US$)]]*'📋 Datos Generales'!$E$19</f>
        <v>0</v>
      </c>
      <c r="AD18" s="284">
        <f>TABLA_BASE[[#This Row],[TOTAL TRIB.
UNIT.(S/.)]]*TABLA_BASE[[#This Row],[CANTIDAD
(unid.)]]</f>
        <v>0</v>
      </c>
      <c r="AE18" s="282">
        <f>IF('🧾 Factura Comercial'!G20=0,0,'📦 Gastos Importación'!$E$28*(IF('🧾 Tributos Aduana'!$F$6=0,0,'🧾 Factura Comercial'!I20/'🧾 Tributos Aduana'!$F$6))/'🧾 Factura Comercial'!G20)</f>
        <v>0</v>
      </c>
      <c r="AF18" s="282">
        <f>TABLA_BASE[[#This Row],[GASTOS IMP.
UNIT.(US$)]]*TABLA_BASE[[#This Row],[CANTIDAD
(unid.)]]</f>
        <v>0</v>
      </c>
      <c r="AG18" s="284">
        <f>TABLA_BASE[[#This Row],[GASTOS IMP.
UNIT.(US$)]]*'📋 Datos Generales'!$E$19</f>
        <v>0</v>
      </c>
      <c r="AH18" s="284">
        <f>TABLA_BASE[[#This Row],[GASTOS IMP.
UNIT.(S/.)]]*TABLA_BASE[[#This Row],[CANTIDAD
(unid.)]]</f>
        <v>0</v>
      </c>
      <c r="AI18" s="283">
        <f>'🧮 Costos x Producto'!J22</f>
        <v>0</v>
      </c>
      <c r="AJ18" s="282">
        <f>'🧮 Costos x Producto'!K22</f>
        <v>0</v>
      </c>
      <c r="AK18" s="282">
        <f>IF('🧾 Factura Comercial'!G20=0,0,'🧾 Tributos Aduana'!$F$17*(IF('🧾 Tributos Aduana'!$F$6=0,0,'🧾 Factura Comercial'!I20/'🧾 Tributos Aduana'!$F$6))/'🧾 Factura Comercial'!G20)</f>
        <v>0</v>
      </c>
      <c r="AL18" s="282">
        <f>IF('🧾 Factura Comercial'!G20=0,0,'🏦 Crédito Fiscal'!$C$16*(IF('🧾 Tributos Aduana'!$F$6=0,0,'🧾 Factura Comercial'!I20/'🧾 Tributos Aduana'!$F$6))/'🧾 Factura Comercial'!G20)</f>
        <v>0</v>
      </c>
      <c r="AM18" s="284">
        <f>TABLA_BASE[[#This Row],[CF UNIT.
✅RECUP.
(US$)]]*'📋 Datos Generales'!$E$19</f>
        <v>0</v>
      </c>
      <c r="AN18" s="281">
        <f>TABLA_BASE[[#This Row],[CF UNIT.
✅RECUP.(S/.)]]*TABLA_BASE[[#This Row],[CANTIDAD
(unid.)]]</f>
        <v>0</v>
      </c>
      <c r="AO18" s="298">
        <f>'💰 Precio de Venta'!G23</f>
        <v>0.4</v>
      </c>
      <c r="AP18" s="284">
        <f>'💰 Precio de Venta'!H23</f>
        <v>0</v>
      </c>
      <c r="AQ18" s="284">
        <f>'💰 Precio de Venta'!I23</f>
        <v>0</v>
      </c>
      <c r="AR18" s="281">
        <f>'💰 Precio de Venta'!J23</f>
        <v>0</v>
      </c>
      <c r="AS18" s="300">
        <f>'💰 Precio de Venta'!K23</f>
        <v>0</v>
      </c>
      <c r="AT18" s="281">
        <f>TABLA_BASE[[#This Row],[GANANCIA
UNIT.(S/.)]]*'🧾 Factura Comercial'!G20</f>
        <v>0</v>
      </c>
      <c r="AU18" s="280">
        <f>IF(TABLA_BASE[[#This Row],[PRECIO VTA.
c/IGV(S/.)]]=0,0,TABLA_BASE[[#This Row],[GANANCIA
UNIT.(S/.)]]/TABLA_BASE[[#This Row],[PRECIO VTA.
c/IGV(S/.)]])</f>
        <v>0</v>
      </c>
      <c r="AV18" s="280">
        <f>IF(TABLA_BASE[[#This Row],[C/M UNIT.
(S/.)]]=0,0,TABLA_BASE[[#This Row],[GANANCIA
UNIT.(S/.)]]/TABLA_BASE[[#This Row],[C/M UNIT.
(S/.)]])</f>
        <v>0</v>
      </c>
      <c r="AW18" s="277" t="str">
        <f>IF(TABLA_BASE[[#This Row],[MARGEN
%]]&gt;=0.5,"🟢 ALTO",IF(TABLA_BASE[[#This Row],[MARGEN
%]]&gt;=0.3,"🟡 MEDIO","🔴 BAJO"))</f>
        <v>🟡 MEDIO</v>
      </c>
    </row>
    <row r="19" spans="1:49" ht="16.5" hidden="1" thickTop="1" thickBot="1" x14ac:dyDescent="0.3">
      <c r="A19" s="277">
        <f>'🧾 Factura Comercial'!E21</f>
        <v>0</v>
      </c>
      <c r="B19" s="277" t="str">
        <f>'🧾 Factura Comercial'!F21</f>
        <v>Unid.</v>
      </c>
      <c r="C19" s="278">
        <f>'🧾 Factura Comercial'!G21</f>
        <v>0</v>
      </c>
      <c r="D19" s="279">
        <f>'🧾 Factura Comercial'!H21</f>
        <v>0</v>
      </c>
      <c r="E19" s="279">
        <f>'🧾 Factura Comercial'!I21</f>
        <v>0</v>
      </c>
      <c r="F19" s="280">
        <f>IF('🧾 Tributos Aduana'!$F$6=0,0,'🧾 Factura Comercial'!I21/'🧾 Tributos Aduana'!$F$6)</f>
        <v>0</v>
      </c>
      <c r="G19" s="281">
        <f>'🧾 Factura Comercial'!H21*'📋 Datos Generales'!$E$19</f>
        <v>0</v>
      </c>
      <c r="H19" s="281">
        <f>TABLA_BASE[[#This Row],[FOB UNIT.
(S/.)]]*TABLA_BASE[[#This Row],[CANTIDAD
(unid.)]]</f>
        <v>0</v>
      </c>
      <c r="I19" s="283">
        <f>IF('🧾 Tributos Aduana'!$F$6=0,0,'🧾 Tributos Aduana'!$F$17*('🧾 Factura Comercial'!H21/'🧾 Tributos Aduana'!$F$6))</f>
        <v>0</v>
      </c>
      <c r="J19" s="283">
        <f>TABLA_BASE[[#This Row],[ADV UNIT.
(US$)
⚠️COSTO]]*TABLA_BASE[[#This Row],[CANTIDAD
(unid.)]]</f>
        <v>0</v>
      </c>
      <c r="K19" s="282">
        <f>IF('🧾 Tributos Aduana'!$F$6=0,0,'🧾 Tributos Aduana'!$F$18*('🧾 Factura Comercial'!H21/'🧾 Tributos Aduana'!$F$6))</f>
        <v>0</v>
      </c>
      <c r="L19" s="283">
        <f>TABLA_BASE[[#This Row],[IPM UNIT.
(US$)
✅CF]]*TABLA_BASE[[#This Row],[CANTIDAD
(unid.)]]</f>
        <v>0</v>
      </c>
      <c r="M19" s="282">
        <f>IF('🧾 Tributos Aduana'!$F$6=0,0,'🧾 Tributos Aduana'!$F$19*('🧾 Factura Comercial'!H21/'🧾 Tributos Aduana'!$F$6))</f>
        <v>0</v>
      </c>
      <c r="N19" s="283">
        <f>TABLA_BASE[[#This Row],[IGV UNIT.
(US$)
✅CF]]*TABLA_BASE[[#This Row],[CANTIDAD
(unid.)]]</f>
        <v>0</v>
      </c>
      <c r="O19" s="283">
        <f>IF('🧾 Tributos Aduana'!$F$6=0,0,'🧾 Tributos Aduana'!$F$23*('🧾 Factura Comercial'!H21/'🧾 Tributos Aduana'!$F$6))</f>
        <v>0</v>
      </c>
      <c r="P19" s="283">
        <f>TABLA_BASE[[#This Row],[PERCEP.
UNIT.(US$)
✅CF]]*TABLA_BASE[[#This Row],[CANTIDAD
(unid.)]]</f>
        <v>0</v>
      </c>
      <c r="Q19" s="282">
        <f>TABLA_BASE[[#This Row],[ADV UNIT.
(US$)
⚠️COSTO]]+TABLA_BASE[[#This Row],[IPM UNIT.
(US$)
✅CF]]+TABLA_BASE[[#This Row],[IGV UNIT.
(US$)
✅CF]]</f>
        <v>0</v>
      </c>
      <c r="R19" s="283">
        <f>TABLA_BASE[[#This Row],[DEUDA
ADUANERA
UNIT.]]*TABLA_BASE[[#This Row],[CANTIDAD
(unid.)]]</f>
        <v>0</v>
      </c>
      <c r="S19" s="284">
        <f>TABLA_BASE[[#This Row],[ADV UNIT.
(US$)
⚠️COSTO]]*'📋 Datos Generales'!$E$19</f>
        <v>0</v>
      </c>
      <c r="T19" s="284">
        <f>TABLA_BASE[[#This Row],[ADV UNIT.
(S/.)]]*TABLA_BASE[[#This Row],[CANTIDAD
(unid.)]]</f>
        <v>0</v>
      </c>
      <c r="U19" s="284">
        <f>TABLA_BASE[[#This Row],[IPM UNIT.
(US$)
✅CF]]*'📋 Datos Generales'!$E$19</f>
        <v>0</v>
      </c>
      <c r="V19" s="284">
        <f>TABLA_BASE[[#This Row],[IPM UNIT.
(S/.)]]*TABLA_BASE[[#This Row],[CANTIDAD
(unid.)]]</f>
        <v>0</v>
      </c>
      <c r="W19" s="284">
        <f>TABLA_BASE[[#This Row],[IGV UNIT.
(US$)
✅CF]]*'📋 Datos Generales'!$E$19</f>
        <v>0</v>
      </c>
      <c r="X19" s="284">
        <f>TABLA_BASE[[#This Row],[IGV UNIT.
(S/.)]]*TABLA_BASE[[#This Row],[CANTIDAD
(unid.)]]</f>
        <v>0</v>
      </c>
      <c r="Y19" s="284">
        <f>TABLA_BASE[[#This Row],[PERCEP.
UNIT.(US$)
✅CF]]*'📋 Datos Generales'!$E$19</f>
        <v>0</v>
      </c>
      <c r="Z19" s="284">
        <f>TABLA_BASE[[#This Row],[PERCEP.
UNIT.(S/.)]]*TABLA_BASE[[#This Row],[CANTIDAD
(unid.)]]</f>
        <v>0</v>
      </c>
      <c r="AA19" s="282">
        <f>TABLA_BASE[[#This Row],[ADV UNIT.
(US$)
⚠️COSTO]]+TABLA_BASE[[#This Row],[IPM UNIT.
(US$)
✅CF]]+TABLA_BASE[[#This Row],[IGV UNIT.
(US$)
✅CF]]+TABLA_BASE[[#This Row],[PERCEP.
UNIT.(US$)
✅CF]]</f>
        <v>0</v>
      </c>
      <c r="AB19" s="282">
        <f>TABLA_BASE[[#This Row],[TOTAL PAGO
SUNAT
UNIT.(US$)]]*TABLA_BASE[[#This Row],[CANTIDAD
(unid.)]]</f>
        <v>0</v>
      </c>
      <c r="AC19" s="284">
        <f>TABLA_BASE[[#This Row],[TOTAL PAGO
SUNAT
UNIT.(US$)]]*'📋 Datos Generales'!$E$19</f>
        <v>0</v>
      </c>
      <c r="AD19" s="284">
        <f>TABLA_BASE[[#This Row],[TOTAL TRIB.
UNIT.(S/.)]]*TABLA_BASE[[#This Row],[CANTIDAD
(unid.)]]</f>
        <v>0</v>
      </c>
      <c r="AE19" s="282">
        <f>IF('🧾 Factura Comercial'!G21=0,0,'📦 Gastos Importación'!$E$28*(IF('🧾 Tributos Aduana'!$F$6=0,0,'🧾 Factura Comercial'!I21/'🧾 Tributos Aduana'!$F$6))/'🧾 Factura Comercial'!G21)</f>
        <v>0</v>
      </c>
      <c r="AF19" s="282">
        <f>TABLA_BASE[[#This Row],[GASTOS IMP.
UNIT.(US$)]]*TABLA_BASE[[#This Row],[CANTIDAD
(unid.)]]</f>
        <v>0</v>
      </c>
      <c r="AG19" s="284">
        <f>TABLA_BASE[[#This Row],[GASTOS IMP.
UNIT.(US$)]]*'📋 Datos Generales'!$E$19</f>
        <v>0</v>
      </c>
      <c r="AH19" s="284">
        <f>TABLA_BASE[[#This Row],[GASTOS IMP.
UNIT.(S/.)]]*TABLA_BASE[[#This Row],[CANTIDAD
(unid.)]]</f>
        <v>0</v>
      </c>
      <c r="AI19" s="283">
        <f>'🧮 Costos x Producto'!J23</f>
        <v>0</v>
      </c>
      <c r="AJ19" s="282">
        <f>'🧮 Costos x Producto'!K23</f>
        <v>0</v>
      </c>
      <c r="AK19" s="282">
        <f>IF('🧾 Factura Comercial'!G21=0,0,'🧾 Tributos Aduana'!$F$17*(IF('🧾 Tributos Aduana'!$F$6=0,0,'🧾 Factura Comercial'!I21/'🧾 Tributos Aduana'!$F$6))/'🧾 Factura Comercial'!G21)</f>
        <v>0</v>
      </c>
      <c r="AL19" s="282">
        <f>IF('🧾 Factura Comercial'!G21=0,0,'🏦 Crédito Fiscal'!$C$16*(IF('🧾 Tributos Aduana'!$F$6=0,0,'🧾 Factura Comercial'!I21/'🧾 Tributos Aduana'!$F$6))/'🧾 Factura Comercial'!G21)</f>
        <v>0</v>
      </c>
      <c r="AM19" s="284">
        <f>TABLA_BASE[[#This Row],[CF UNIT.
✅RECUP.
(US$)]]*'📋 Datos Generales'!$E$19</f>
        <v>0</v>
      </c>
      <c r="AN19" s="281">
        <f>TABLA_BASE[[#This Row],[CF UNIT.
✅RECUP.(S/.)]]*TABLA_BASE[[#This Row],[CANTIDAD
(unid.)]]</f>
        <v>0</v>
      </c>
      <c r="AO19" s="298">
        <f>'💰 Precio de Venta'!G24</f>
        <v>0.4</v>
      </c>
      <c r="AP19" s="284">
        <f>'💰 Precio de Venta'!H24</f>
        <v>0</v>
      </c>
      <c r="AQ19" s="284">
        <f>'💰 Precio de Venta'!I24</f>
        <v>0</v>
      </c>
      <c r="AR19" s="281">
        <f>'💰 Precio de Venta'!J24</f>
        <v>0</v>
      </c>
      <c r="AS19" s="300">
        <f>'💰 Precio de Venta'!K24</f>
        <v>0</v>
      </c>
      <c r="AT19" s="281">
        <f>TABLA_BASE[[#This Row],[GANANCIA
UNIT.(S/.)]]*'🧾 Factura Comercial'!G21</f>
        <v>0</v>
      </c>
      <c r="AU19" s="280">
        <f>IF(TABLA_BASE[[#This Row],[PRECIO VTA.
c/IGV(S/.)]]=0,0,TABLA_BASE[[#This Row],[GANANCIA
UNIT.(S/.)]]/TABLA_BASE[[#This Row],[PRECIO VTA.
c/IGV(S/.)]])</f>
        <v>0</v>
      </c>
      <c r="AV19" s="280">
        <f>IF(TABLA_BASE[[#This Row],[C/M UNIT.
(S/.)]]=0,0,TABLA_BASE[[#This Row],[GANANCIA
UNIT.(S/.)]]/TABLA_BASE[[#This Row],[C/M UNIT.
(S/.)]])</f>
        <v>0</v>
      </c>
      <c r="AW19" s="277" t="str">
        <f>IF(TABLA_BASE[[#This Row],[MARGEN
%]]&gt;=0.5,"🟢 ALTO",IF(TABLA_BASE[[#This Row],[MARGEN
%]]&gt;=0.3,"🟡 MEDIO","🔴 BAJO"))</f>
        <v>🟡 MEDIO</v>
      </c>
    </row>
    <row r="20" spans="1:49" ht="16.5" hidden="1" thickTop="1" thickBot="1" x14ac:dyDescent="0.3">
      <c r="A20" s="277">
        <f>'🧾 Factura Comercial'!E22</f>
        <v>0</v>
      </c>
      <c r="B20" s="277" t="str">
        <f>'🧾 Factura Comercial'!F22</f>
        <v>Unid.</v>
      </c>
      <c r="C20" s="278">
        <f>'🧾 Factura Comercial'!G22</f>
        <v>0</v>
      </c>
      <c r="D20" s="279">
        <f>'🧾 Factura Comercial'!H22</f>
        <v>0</v>
      </c>
      <c r="E20" s="279">
        <f>'🧾 Factura Comercial'!I22</f>
        <v>0</v>
      </c>
      <c r="F20" s="280">
        <f>IF('🧾 Tributos Aduana'!$F$6=0,0,'🧾 Factura Comercial'!I22/'🧾 Tributos Aduana'!$F$6)</f>
        <v>0</v>
      </c>
      <c r="G20" s="281">
        <f>'🧾 Factura Comercial'!H22*'📋 Datos Generales'!$E$19</f>
        <v>0</v>
      </c>
      <c r="H20" s="281">
        <f>TABLA_BASE[[#This Row],[FOB UNIT.
(S/.)]]*TABLA_BASE[[#This Row],[CANTIDAD
(unid.)]]</f>
        <v>0</v>
      </c>
      <c r="I20" s="283">
        <f>IF('🧾 Tributos Aduana'!$F$6=0,0,'🧾 Tributos Aduana'!$F$17*('🧾 Factura Comercial'!H22/'🧾 Tributos Aduana'!$F$6))</f>
        <v>0</v>
      </c>
      <c r="J20" s="283">
        <f>TABLA_BASE[[#This Row],[ADV UNIT.
(US$)
⚠️COSTO]]*TABLA_BASE[[#This Row],[CANTIDAD
(unid.)]]</f>
        <v>0</v>
      </c>
      <c r="K20" s="282">
        <f>IF('🧾 Tributos Aduana'!$F$6=0,0,'🧾 Tributos Aduana'!$F$18*('🧾 Factura Comercial'!H22/'🧾 Tributos Aduana'!$F$6))</f>
        <v>0</v>
      </c>
      <c r="L20" s="283">
        <f>TABLA_BASE[[#This Row],[IPM UNIT.
(US$)
✅CF]]*TABLA_BASE[[#This Row],[CANTIDAD
(unid.)]]</f>
        <v>0</v>
      </c>
      <c r="M20" s="282">
        <f>IF('🧾 Tributos Aduana'!$F$6=0,0,'🧾 Tributos Aduana'!$F$19*('🧾 Factura Comercial'!H22/'🧾 Tributos Aduana'!$F$6))</f>
        <v>0</v>
      </c>
      <c r="N20" s="283">
        <f>TABLA_BASE[[#This Row],[IGV UNIT.
(US$)
✅CF]]*TABLA_BASE[[#This Row],[CANTIDAD
(unid.)]]</f>
        <v>0</v>
      </c>
      <c r="O20" s="283">
        <f>IF('🧾 Tributos Aduana'!$F$6=0,0,'🧾 Tributos Aduana'!$F$23*('🧾 Factura Comercial'!H22/'🧾 Tributos Aduana'!$F$6))</f>
        <v>0</v>
      </c>
      <c r="P20" s="283">
        <f>TABLA_BASE[[#This Row],[PERCEP.
UNIT.(US$)
✅CF]]*TABLA_BASE[[#This Row],[CANTIDAD
(unid.)]]</f>
        <v>0</v>
      </c>
      <c r="Q20" s="282">
        <f>TABLA_BASE[[#This Row],[ADV UNIT.
(US$)
⚠️COSTO]]+TABLA_BASE[[#This Row],[IPM UNIT.
(US$)
✅CF]]+TABLA_BASE[[#This Row],[IGV UNIT.
(US$)
✅CF]]</f>
        <v>0</v>
      </c>
      <c r="R20" s="283">
        <f>TABLA_BASE[[#This Row],[DEUDA
ADUANERA
UNIT.]]*TABLA_BASE[[#This Row],[CANTIDAD
(unid.)]]</f>
        <v>0</v>
      </c>
      <c r="S20" s="284">
        <f>TABLA_BASE[[#This Row],[ADV UNIT.
(US$)
⚠️COSTO]]*'📋 Datos Generales'!$E$19</f>
        <v>0</v>
      </c>
      <c r="T20" s="284">
        <f>TABLA_BASE[[#This Row],[ADV UNIT.
(S/.)]]*TABLA_BASE[[#This Row],[CANTIDAD
(unid.)]]</f>
        <v>0</v>
      </c>
      <c r="U20" s="284">
        <f>TABLA_BASE[[#This Row],[IPM UNIT.
(US$)
✅CF]]*'📋 Datos Generales'!$E$19</f>
        <v>0</v>
      </c>
      <c r="V20" s="284">
        <f>TABLA_BASE[[#This Row],[IPM UNIT.
(S/.)]]*TABLA_BASE[[#This Row],[CANTIDAD
(unid.)]]</f>
        <v>0</v>
      </c>
      <c r="W20" s="284">
        <f>TABLA_BASE[[#This Row],[IGV UNIT.
(US$)
✅CF]]*'📋 Datos Generales'!$E$19</f>
        <v>0</v>
      </c>
      <c r="X20" s="284">
        <f>TABLA_BASE[[#This Row],[IGV UNIT.
(S/.)]]*TABLA_BASE[[#This Row],[CANTIDAD
(unid.)]]</f>
        <v>0</v>
      </c>
      <c r="Y20" s="284">
        <f>TABLA_BASE[[#This Row],[PERCEP.
UNIT.(US$)
✅CF]]*'📋 Datos Generales'!$E$19</f>
        <v>0</v>
      </c>
      <c r="Z20" s="284">
        <f>TABLA_BASE[[#This Row],[PERCEP.
UNIT.(S/.)]]*TABLA_BASE[[#This Row],[CANTIDAD
(unid.)]]</f>
        <v>0</v>
      </c>
      <c r="AA20" s="282">
        <f>TABLA_BASE[[#This Row],[ADV UNIT.
(US$)
⚠️COSTO]]+TABLA_BASE[[#This Row],[IPM UNIT.
(US$)
✅CF]]+TABLA_BASE[[#This Row],[IGV UNIT.
(US$)
✅CF]]+TABLA_BASE[[#This Row],[PERCEP.
UNIT.(US$)
✅CF]]</f>
        <v>0</v>
      </c>
      <c r="AB20" s="282">
        <f>TABLA_BASE[[#This Row],[TOTAL PAGO
SUNAT
UNIT.(US$)]]*TABLA_BASE[[#This Row],[CANTIDAD
(unid.)]]</f>
        <v>0</v>
      </c>
      <c r="AC20" s="284">
        <f>TABLA_BASE[[#This Row],[TOTAL PAGO
SUNAT
UNIT.(US$)]]*'📋 Datos Generales'!$E$19</f>
        <v>0</v>
      </c>
      <c r="AD20" s="284">
        <f>TABLA_BASE[[#This Row],[TOTAL TRIB.
UNIT.(S/.)]]*TABLA_BASE[[#This Row],[CANTIDAD
(unid.)]]</f>
        <v>0</v>
      </c>
      <c r="AE20" s="282">
        <f>IF('🧾 Factura Comercial'!G22=0,0,'📦 Gastos Importación'!$E$28*(IF('🧾 Tributos Aduana'!$F$6=0,0,'🧾 Factura Comercial'!I22/'🧾 Tributos Aduana'!$F$6))/'🧾 Factura Comercial'!G22)</f>
        <v>0</v>
      </c>
      <c r="AF20" s="282">
        <f>TABLA_BASE[[#This Row],[GASTOS IMP.
UNIT.(US$)]]*TABLA_BASE[[#This Row],[CANTIDAD
(unid.)]]</f>
        <v>0</v>
      </c>
      <c r="AG20" s="284">
        <f>TABLA_BASE[[#This Row],[GASTOS IMP.
UNIT.(US$)]]*'📋 Datos Generales'!$E$19</f>
        <v>0</v>
      </c>
      <c r="AH20" s="284">
        <f>TABLA_BASE[[#This Row],[GASTOS IMP.
UNIT.(S/.)]]*TABLA_BASE[[#This Row],[CANTIDAD
(unid.)]]</f>
        <v>0</v>
      </c>
      <c r="AI20" s="283">
        <f>'🧮 Costos x Producto'!J24</f>
        <v>0</v>
      </c>
      <c r="AJ20" s="282">
        <f>'🧮 Costos x Producto'!K24</f>
        <v>0</v>
      </c>
      <c r="AK20" s="282">
        <f>IF('🧾 Factura Comercial'!G22=0,0,'🧾 Tributos Aduana'!$F$17*(IF('🧾 Tributos Aduana'!$F$6=0,0,'🧾 Factura Comercial'!I22/'🧾 Tributos Aduana'!$F$6))/'🧾 Factura Comercial'!G22)</f>
        <v>0</v>
      </c>
      <c r="AL20" s="282">
        <f>IF('🧾 Factura Comercial'!G22=0,0,'🏦 Crédito Fiscal'!$C$16*(IF('🧾 Tributos Aduana'!$F$6=0,0,'🧾 Factura Comercial'!I22/'🧾 Tributos Aduana'!$F$6))/'🧾 Factura Comercial'!G22)</f>
        <v>0</v>
      </c>
      <c r="AM20" s="284">
        <f>TABLA_BASE[[#This Row],[CF UNIT.
✅RECUP.
(US$)]]*'📋 Datos Generales'!$E$19</f>
        <v>0</v>
      </c>
      <c r="AN20" s="281">
        <f>TABLA_BASE[[#This Row],[CF UNIT.
✅RECUP.(S/.)]]*TABLA_BASE[[#This Row],[CANTIDAD
(unid.)]]</f>
        <v>0</v>
      </c>
      <c r="AO20" s="298">
        <f>'💰 Precio de Venta'!G25</f>
        <v>0.4</v>
      </c>
      <c r="AP20" s="284">
        <f>'💰 Precio de Venta'!H25</f>
        <v>0</v>
      </c>
      <c r="AQ20" s="284">
        <f>'💰 Precio de Venta'!I25</f>
        <v>0</v>
      </c>
      <c r="AR20" s="281">
        <f>'💰 Precio de Venta'!J25</f>
        <v>0</v>
      </c>
      <c r="AS20" s="300">
        <f>'💰 Precio de Venta'!K25</f>
        <v>0</v>
      </c>
      <c r="AT20" s="281">
        <f>TABLA_BASE[[#This Row],[GANANCIA
UNIT.(S/.)]]*'🧾 Factura Comercial'!G22</f>
        <v>0</v>
      </c>
      <c r="AU20" s="280">
        <f>IF(TABLA_BASE[[#This Row],[PRECIO VTA.
c/IGV(S/.)]]=0,0,TABLA_BASE[[#This Row],[GANANCIA
UNIT.(S/.)]]/TABLA_BASE[[#This Row],[PRECIO VTA.
c/IGV(S/.)]])</f>
        <v>0</v>
      </c>
      <c r="AV20" s="280">
        <f>IF(TABLA_BASE[[#This Row],[C/M UNIT.
(S/.)]]=0,0,TABLA_BASE[[#This Row],[GANANCIA
UNIT.(S/.)]]/TABLA_BASE[[#This Row],[C/M UNIT.
(S/.)]])</f>
        <v>0</v>
      </c>
      <c r="AW20" s="277" t="str">
        <f>IF(TABLA_BASE[[#This Row],[MARGEN
%]]&gt;=0.5,"🟢 ALTO",IF(TABLA_BASE[[#This Row],[MARGEN
%]]&gt;=0.3,"🟡 MEDIO","🔴 BAJO"))</f>
        <v>🟡 MEDIO</v>
      </c>
    </row>
    <row r="21" spans="1:49" ht="16.5" hidden="1" thickTop="1" thickBot="1" x14ac:dyDescent="0.3">
      <c r="A21" s="277">
        <f>'🧾 Factura Comercial'!E23</f>
        <v>0</v>
      </c>
      <c r="B21" s="277" t="str">
        <f>'🧾 Factura Comercial'!F23</f>
        <v>Unid.</v>
      </c>
      <c r="C21" s="278">
        <f>'🧾 Factura Comercial'!G23</f>
        <v>0</v>
      </c>
      <c r="D21" s="279">
        <f>'🧾 Factura Comercial'!H23</f>
        <v>0</v>
      </c>
      <c r="E21" s="279">
        <f>'🧾 Factura Comercial'!I23</f>
        <v>0</v>
      </c>
      <c r="F21" s="280">
        <f>IF('🧾 Tributos Aduana'!$F$6=0,0,'🧾 Factura Comercial'!I23/'🧾 Tributos Aduana'!$F$6)</f>
        <v>0</v>
      </c>
      <c r="G21" s="281">
        <f>'🧾 Factura Comercial'!H23*'📋 Datos Generales'!$E$19</f>
        <v>0</v>
      </c>
      <c r="H21" s="281">
        <f>TABLA_BASE[[#This Row],[FOB UNIT.
(S/.)]]*TABLA_BASE[[#This Row],[CANTIDAD
(unid.)]]</f>
        <v>0</v>
      </c>
      <c r="I21" s="283">
        <f>IF('🧾 Tributos Aduana'!$F$6=0,0,'🧾 Tributos Aduana'!$F$17*('🧾 Factura Comercial'!H23/'🧾 Tributos Aduana'!$F$6))</f>
        <v>0</v>
      </c>
      <c r="J21" s="283">
        <f>TABLA_BASE[[#This Row],[ADV UNIT.
(US$)
⚠️COSTO]]*TABLA_BASE[[#This Row],[CANTIDAD
(unid.)]]</f>
        <v>0</v>
      </c>
      <c r="K21" s="282">
        <f>IF('🧾 Tributos Aduana'!$F$6=0,0,'🧾 Tributos Aduana'!$F$18*('🧾 Factura Comercial'!H23/'🧾 Tributos Aduana'!$F$6))</f>
        <v>0</v>
      </c>
      <c r="L21" s="283">
        <f>TABLA_BASE[[#This Row],[IPM UNIT.
(US$)
✅CF]]*TABLA_BASE[[#This Row],[CANTIDAD
(unid.)]]</f>
        <v>0</v>
      </c>
      <c r="M21" s="282">
        <f>IF('🧾 Tributos Aduana'!$F$6=0,0,'🧾 Tributos Aduana'!$F$19*('🧾 Factura Comercial'!H23/'🧾 Tributos Aduana'!$F$6))</f>
        <v>0</v>
      </c>
      <c r="N21" s="283">
        <f>TABLA_BASE[[#This Row],[IGV UNIT.
(US$)
✅CF]]*TABLA_BASE[[#This Row],[CANTIDAD
(unid.)]]</f>
        <v>0</v>
      </c>
      <c r="O21" s="283">
        <f>IF('🧾 Tributos Aduana'!$F$6=0,0,'🧾 Tributos Aduana'!$F$23*('🧾 Factura Comercial'!H23/'🧾 Tributos Aduana'!$F$6))</f>
        <v>0</v>
      </c>
      <c r="P21" s="283">
        <f>TABLA_BASE[[#This Row],[PERCEP.
UNIT.(US$)
✅CF]]*TABLA_BASE[[#This Row],[CANTIDAD
(unid.)]]</f>
        <v>0</v>
      </c>
      <c r="Q21" s="282">
        <f>TABLA_BASE[[#This Row],[ADV UNIT.
(US$)
⚠️COSTO]]+TABLA_BASE[[#This Row],[IPM UNIT.
(US$)
✅CF]]+TABLA_BASE[[#This Row],[IGV UNIT.
(US$)
✅CF]]</f>
        <v>0</v>
      </c>
      <c r="R21" s="283">
        <f>TABLA_BASE[[#This Row],[DEUDA
ADUANERA
UNIT.]]*TABLA_BASE[[#This Row],[CANTIDAD
(unid.)]]</f>
        <v>0</v>
      </c>
      <c r="S21" s="284">
        <f>TABLA_BASE[[#This Row],[ADV UNIT.
(US$)
⚠️COSTO]]*'📋 Datos Generales'!$E$19</f>
        <v>0</v>
      </c>
      <c r="T21" s="284">
        <f>TABLA_BASE[[#This Row],[ADV UNIT.
(S/.)]]*TABLA_BASE[[#This Row],[CANTIDAD
(unid.)]]</f>
        <v>0</v>
      </c>
      <c r="U21" s="284">
        <f>TABLA_BASE[[#This Row],[IPM UNIT.
(US$)
✅CF]]*'📋 Datos Generales'!$E$19</f>
        <v>0</v>
      </c>
      <c r="V21" s="284">
        <f>TABLA_BASE[[#This Row],[IPM UNIT.
(S/.)]]*TABLA_BASE[[#This Row],[CANTIDAD
(unid.)]]</f>
        <v>0</v>
      </c>
      <c r="W21" s="284">
        <f>TABLA_BASE[[#This Row],[IGV UNIT.
(US$)
✅CF]]*'📋 Datos Generales'!$E$19</f>
        <v>0</v>
      </c>
      <c r="X21" s="284">
        <f>TABLA_BASE[[#This Row],[IGV UNIT.
(S/.)]]*TABLA_BASE[[#This Row],[CANTIDAD
(unid.)]]</f>
        <v>0</v>
      </c>
      <c r="Y21" s="284">
        <f>TABLA_BASE[[#This Row],[PERCEP.
UNIT.(US$)
✅CF]]*'📋 Datos Generales'!$E$19</f>
        <v>0</v>
      </c>
      <c r="Z21" s="284">
        <f>TABLA_BASE[[#This Row],[PERCEP.
UNIT.(S/.)]]*TABLA_BASE[[#This Row],[CANTIDAD
(unid.)]]</f>
        <v>0</v>
      </c>
      <c r="AA21" s="282">
        <f>TABLA_BASE[[#This Row],[ADV UNIT.
(US$)
⚠️COSTO]]+TABLA_BASE[[#This Row],[IPM UNIT.
(US$)
✅CF]]+TABLA_BASE[[#This Row],[IGV UNIT.
(US$)
✅CF]]+TABLA_BASE[[#This Row],[PERCEP.
UNIT.(US$)
✅CF]]</f>
        <v>0</v>
      </c>
      <c r="AB21" s="282">
        <f>TABLA_BASE[[#This Row],[TOTAL PAGO
SUNAT
UNIT.(US$)]]*TABLA_BASE[[#This Row],[CANTIDAD
(unid.)]]</f>
        <v>0</v>
      </c>
      <c r="AC21" s="284">
        <f>TABLA_BASE[[#This Row],[TOTAL PAGO
SUNAT
UNIT.(US$)]]*'📋 Datos Generales'!$E$19</f>
        <v>0</v>
      </c>
      <c r="AD21" s="284">
        <f>TABLA_BASE[[#This Row],[TOTAL TRIB.
UNIT.(S/.)]]*TABLA_BASE[[#This Row],[CANTIDAD
(unid.)]]</f>
        <v>0</v>
      </c>
      <c r="AE21" s="282">
        <f>IF('🧾 Factura Comercial'!G23=0,0,'📦 Gastos Importación'!$E$28*(IF('🧾 Tributos Aduana'!$F$6=0,0,'🧾 Factura Comercial'!I23/'🧾 Tributos Aduana'!$F$6))/'🧾 Factura Comercial'!G23)</f>
        <v>0</v>
      </c>
      <c r="AF21" s="282">
        <f>TABLA_BASE[[#This Row],[GASTOS IMP.
UNIT.(US$)]]*TABLA_BASE[[#This Row],[CANTIDAD
(unid.)]]</f>
        <v>0</v>
      </c>
      <c r="AG21" s="284">
        <f>TABLA_BASE[[#This Row],[GASTOS IMP.
UNIT.(US$)]]*'📋 Datos Generales'!$E$19</f>
        <v>0</v>
      </c>
      <c r="AH21" s="284">
        <f>TABLA_BASE[[#This Row],[GASTOS IMP.
UNIT.(S/.)]]*TABLA_BASE[[#This Row],[CANTIDAD
(unid.)]]</f>
        <v>0</v>
      </c>
      <c r="AI21" s="283">
        <f>'🧮 Costos x Producto'!J25</f>
        <v>0</v>
      </c>
      <c r="AJ21" s="282">
        <f>'🧮 Costos x Producto'!K25</f>
        <v>0</v>
      </c>
      <c r="AK21" s="282">
        <f>IF('🧾 Factura Comercial'!G23=0,0,'🧾 Tributos Aduana'!$F$17*(IF('🧾 Tributos Aduana'!$F$6=0,0,'🧾 Factura Comercial'!I23/'🧾 Tributos Aduana'!$F$6))/'🧾 Factura Comercial'!G23)</f>
        <v>0</v>
      </c>
      <c r="AL21" s="282">
        <f>IF('🧾 Factura Comercial'!G23=0,0,'🏦 Crédito Fiscal'!$C$16*(IF('🧾 Tributos Aduana'!$F$6=0,0,'🧾 Factura Comercial'!I23/'🧾 Tributos Aduana'!$F$6))/'🧾 Factura Comercial'!G23)</f>
        <v>0</v>
      </c>
      <c r="AM21" s="284">
        <f>TABLA_BASE[[#This Row],[CF UNIT.
✅RECUP.
(US$)]]*'📋 Datos Generales'!$E$19</f>
        <v>0</v>
      </c>
      <c r="AN21" s="281">
        <f>TABLA_BASE[[#This Row],[CF UNIT.
✅RECUP.(S/.)]]*TABLA_BASE[[#This Row],[CANTIDAD
(unid.)]]</f>
        <v>0</v>
      </c>
      <c r="AO21" s="298">
        <f>'💰 Precio de Venta'!G26</f>
        <v>0.4</v>
      </c>
      <c r="AP21" s="284">
        <f>'💰 Precio de Venta'!H26</f>
        <v>0</v>
      </c>
      <c r="AQ21" s="284">
        <f>'💰 Precio de Venta'!I26</f>
        <v>0</v>
      </c>
      <c r="AR21" s="281">
        <f>'💰 Precio de Venta'!J26</f>
        <v>0</v>
      </c>
      <c r="AS21" s="300">
        <f>'💰 Precio de Venta'!K26</f>
        <v>0</v>
      </c>
      <c r="AT21" s="281">
        <f>TABLA_BASE[[#This Row],[GANANCIA
UNIT.(S/.)]]*'🧾 Factura Comercial'!G23</f>
        <v>0</v>
      </c>
      <c r="AU21" s="280">
        <f>IF(TABLA_BASE[[#This Row],[PRECIO VTA.
c/IGV(S/.)]]=0,0,TABLA_BASE[[#This Row],[GANANCIA
UNIT.(S/.)]]/TABLA_BASE[[#This Row],[PRECIO VTA.
c/IGV(S/.)]])</f>
        <v>0</v>
      </c>
      <c r="AV21" s="280">
        <f>IF(TABLA_BASE[[#This Row],[C/M UNIT.
(S/.)]]=0,0,TABLA_BASE[[#This Row],[GANANCIA
UNIT.(S/.)]]/TABLA_BASE[[#This Row],[C/M UNIT.
(S/.)]])</f>
        <v>0</v>
      </c>
      <c r="AW21" s="277" t="str">
        <f>IF(TABLA_BASE[[#This Row],[MARGEN
%]]&gt;=0.5,"🟢 ALTO",IF(TABLA_BASE[[#This Row],[MARGEN
%]]&gt;=0.3,"🟡 MEDIO","🔴 BAJO"))</f>
        <v>🟡 MEDIO</v>
      </c>
    </row>
    <row r="22" spans="1:49" ht="16.5" hidden="1" thickTop="1" thickBot="1" x14ac:dyDescent="0.3">
      <c r="A22" s="277">
        <f>'🧾 Factura Comercial'!E24</f>
        <v>0</v>
      </c>
      <c r="B22" s="277" t="str">
        <f>'🧾 Factura Comercial'!F24</f>
        <v>Unid.</v>
      </c>
      <c r="C22" s="278">
        <f>'🧾 Factura Comercial'!G24</f>
        <v>0</v>
      </c>
      <c r="D22" s="279">
        <f>'🧾 Factura Comercial'!H24</f>
        <v>0</v>
      </c>
      <c r="E22" s="279">
        <f>'🧾 Factura Comercial'!I24</f>
        <v>0</v>
      </c>
      <c r="F22" s="280">
        <f>IF('🧾 Tributos Aduana'!$F$6=0,0,'🧾 Factura Comercial'!I24/'🧾 Tributos Aduana'!$F$6)</f>
        <v>0</v>
      </c>
      <c r="G22" s="281">
        <f>'🧾 Factura Comercial'!H24*'📋 Datos Generales'!$E$19</f>
        <v>0</v>
      </c>
      <c r="H22" s="281">
        <f>TABLA_BASE[[#This Row],[FOB UNIT.
(S/.)]]*TABLA_BASE[[#This Row],[CANTIDAD
(unid.)]]</f>
        <v>0</v>
      </c>
      <c r="I22" s="283">
        <f>IF('🧾 Tributos Aduana'!$F$6=0,0,'🧾 Tributos Aduana'!$F$17*('🧾 Factura Comercial'!H24/'🧾 Tributos Aduana'!$F$6))</f>
        <v>0</v>
      </c>
      <c r="J22" s="283">
        <f>TABLA_BASE[[#This Row],[ADV UNIT.
(US$)
⚠️COSTO]]*TABLA_BASE[[#This Row],[CANTIDAD
(unid.)]]</f>
        <v>0</v>
      </c>
      <c r="K22" s="282">
        <f>IF('🧾 Tributos Aduana'!$F$6=0,0,'🧾 Tributos Aduana'!$F$18*('🧾 Factura Comercial'!H24/'🧾 Tributos Aduana'!$F$6))</f>
        <v>0</v>
      </c>
      <c r="L22" s="283">
        <f>TABLA_BASE[[#This Row],[IPM UNIT.
(US$)
✅CF]]*TABLA_BASE[[#This Row],[CANTIDAD
(unid.)]]</f>
        <v>0</v>
      </c>
      <c r="M22" s="282">
        <f>IF('🧾 Tributos Aduana'!$F$6=0,0,'🧾 Tributos Aduana'!$F$19*('🧾 Factura Comercial'!H24/'🧾 Tributos Aduana'!$F$6))</f>
        <v>0</v>
      </c>
      <c r="N22" s="283">
        <f>TABLA_BASE[[#This Row],[IGV UNIT.
(US$)
✅CF]]*TABLA_BASE[[#This Row],[CANTIDAD
(unid.)]]</f>
        <v>0</v>
      </c>
      <c r="O22" s="283">
        <f>IF('🧾 Tributos Aduana'!$F$6=0,0,'🧾 Tributos Aduana'!$F$23*('🧾 Factura Comercial'!H24/'🧾 Tributos Aduana'!$F$6))</f>
        <v>0</v>
      </c>
      <c r="P22" s="283">
        <f>TABLA_BASE[[#This Row],[PERCEP.
UNIT.(US$)
✅CF]]*TABLA_BASE[[#This Row],[CANTIDAD
(unid.)]]</f>
        <v>0</v>
      </c>
      <c r="Q22" s="282">
        <f>TABLA_BASE[[#This Row],[ADV UNIT.
(US$)
⚠️COSTO]]+TABLA_BASE[[#This Row],[IPM UNIT.
(US$)
✅CF]]+TABLA_BASE[[#This Row],[IGV UNIT.
(US$)
✅CF]]</f>
        <v>0</v>
      </c>
      <c r="R22" s="283">
        <f>TABLA_BASE[[#This Row],[DEUDA
ADUANERA
UNIT.]]*TABLA_BASE[[#This Row],[CANTIDAD
(unid.)]]</f>
        <v>0</v>
      </c>
      <c r="S22" s="284">
        <f>TABLA_BASE[[#This Row],[ADV UNIT.
(US$)
⚠️COSTO]]*'📋 Datos Generales'!$E$19</f>
        <v>0</v>
      </c>
      <c r="T22" s="284">
        <f>TABLA_BASE[[#This Row],[ADV UNIT.
(S/.)]]*TABLA_BASE[[#This Row],[CANTIDAD
(unid.)]]</f>
        <v>0</v>
      </c>
      <c r="U22" s="284">
        <f>TABLA_BASE[[#This Row],[IPM UNIT.
(US$)
✅CF]]*'📋 Datos Generales'!$E$19</f>
        <v>0</v>
      </c>
      <c r="V22" s="284">
        <f>TABLA_BASE[[#This Row],[IPM UNIT.
(S/.)]]*TABLA_BASE[[#This Row],[CANTIDAD
(unid.)]]</f>
        <v>0</v>
      </c>
      <c r="W22" s="284">
        <f>TABLA_BASE[[#This Row],[IGV UNIT.
(US$)
✅CF]]*'📋 Datos Generales'!$E$19</f>
        <v>0</v>
      </c>
      <c r="X22" s="284">
        <f>TABLA_BASE[[#This Row],[IGV UNIT.
(S/.)]]*TABLA_BASE[[#This Row],[CANTIDAD
(unid.)]]</f>
        <v>0</v>
      </c>
      <c r="Y22" s="284">
        <f>TABLA_BASE[[#This Row],[PERCEP.
UNIT.(US$)
✅CF]]*'📋 Datos Generales'!$E$19</f>
        <v>0</v>
      </c>
      <c r="Z22" s="284">
        <f>TABLA_BASE[[#This Row],[PERCEP.
UNIT.(S/.)]]*TABLA_BASE[[#This Row],[CANTIDAD
(unid.)]]</f>
        <v>0</v>
      </c>
      <c r="AA22" s="282">
        <f>TABLA_BASE[[#This Row],[ADV UNIT.
(US$)
⚠️COSTO]]+TABLA_BASE[[#This Row],[IPM UNIT.
(US$)
✅CF]]+TABLA_BASE[[#This Row],[IGV UNIT.
(US$)
✅CF]]+TABLA_BASE[[#This Row],[PERCEP.
UNIT.(US$)
✅CF]]</f>
        <v>0</v>
      </c>
      <c r="AB22" s="282">
        <f>TABLA_BASE[[#This Row],[TOTAL PAGO
SUNAT
UNIT.(US$)]]*TABLA_BASE[[#This Row],[CANTIDAD
(unid.)]]</f>
        <v>0</v>
      </c>
      <c r="AC22" s="284">
        <f>TABLA_BASE[[#This Row],[TOTAL PAGO
SUNAT
UNIT.(US$)]]*'📋 Datos Generales'!$E$19</f>
        <v>0</v>
      </c>
      <c r="AD22" s="284">
        <f>TABLA_BASE[[#This Row],[TOTAL TRIB.
UNIT.(S/.)]]*TABLA_BASE[[#This Row],[CANTIDAD
(unid.)]]</f>
        <v>0</v>
      </c>
      <c r="AE22" s="282">
        <f>IF('🧾 Factura Comercial'!G24=0,0,'📦 Gastos Importación'!$E$28*(IF('🧾 Tributos Aduana'!$F$6=0,0,'🧾 Factura Comercial'!I24/'🧾 Tributos Aduana'!$F$6))/'🧾 Factura Comercial'!G24)</f>
        <v>0</v>
      </c>
      <c r="AF22" s="282">
        <f>TABLA_BASE[[#This Row],[GASTOS IMP.
UNIT.(US$)]]*TABLA_BASE[[#This Row],[CANTIDAD
(unid.)]]</f>
        <v>0</v>
      </c>
      <c r="AG22" s="284">
        <f>TABLA_BASE[[#This Row],[GASTOS IMP.
UNIT.(US$)]]*'📋 Datos Generales'!$E$19</f>
        <v>0</v>
      </c>
      <c r="AH22" s="284">
        <f>TABLA_BASE[[#This Row],[GASTOS IMP.
UNIT.(S/.)]]*TABLA_BASE[[#This Row],[CANTIDAD
(unid.)]]</f>
        <v>0</v>
      </c>
      <c r="AI22" s="283">
        <f>'🧮 Costos x Producto'!J26</f>
        <v>0</v>
      </c>
      <c r="AJ22" s="282">
        <f>'🧮 Costos x Producto'!K26</f>
        <v>0</v>
      </c>
      <c r="AK22" s="282">
        <f>IF('🧾 Factura Comercial'!G24=0,0,'🧾 Tributos Aduana'!$F$17*(IF('🧾 Tributos Aduana'!$F$6=0,0,'🧾 Factura Comercial'!I24/'🧾 Tributos Aduana'!$F$6))/'🧾 Factura Comercial'!G24)</f>
        <v>0</v>
      </c>
      <c r="AL22" s="282">
        <f>IF('🧾 Factura Comercial'!G24=0,0,'🏦 Crédito Fiscal'!$C$16*(IF('🧾 Tributos Aduana'!$F$6=0,0,'🧾 Factura Comercial'!I24/'🧾 Tributos Aduana'!$F$6))/'🧾 Factura Comercial'!G24)</f>
        <v>0</v>
      </c>
      <c r="AM22" s="284">
        <f>TABLA_BASE[[#This Row],[CF UNIT.
✅RECUP.
(US$)]]*'📋 Datos Generales'!$E$19</f>
        <v>0</v>
      </c>
      <c r="AN22" s="281">
        <f>TABLA_BASE[[#This Row],[CF UNIT.
✅RECUP.(S/.)]]*TABLA_BASE[[#This Row],[CANTIDAD
(unid.)]]</f>
        <v>0</v>
      </c>
      <c r="AO22" s="298">
        <f>'💰 Precio de Venta'!G27</f>
        <v>0.4</v>
      </c>
      <c r="AP22" s="284">
        <f>'💰 Precio de Venta'!H27</f>
        <v>0</v>
      </c>
      <c r="AQ22" s="284">
        <f>'💰 Precio de Venta'!I27</f>
        <v>0</v>
      </c>
      <c r="AR22" s="281">
        <f>'💰 Precio de Venta'!J27</f>
        <v>0</v>
      </c>
      <c r="AS22" s="300">
        <f>'💰 Precio de Venta'!K27</f>
        <v>0</v>
      </c>
      <c r="AT22" s="281">
        <f>TABLA_BASE[[#This Row],[GANANCIA
UNIT.(S/.)]]*'🧾 Factura Comercial'!G24</f>
        <v>0</v>
      </c>
      <c r="AU22" s="280">
        <f>IF(TABLA_BASE[[#This Row],[PRECIO VTA.
c/IGV(S/.)]]=0,0,TABLA_BASE[[#This Row],[GANANCIA
UNIT.(S/.)]]/TABLA_BASE[[#This Row],[PRECIO VTA.
c/IGV(S/.)]])</f>
        <v>0</v>
      </c>
      <c r="AV22" s="280">
        <f>IF(TABLA_BASE[[#This Row],[C/M UNIT.
(S/.)]]=0,0,TABLA_BASE[[#This Row],[GANANCIA
UNIT.(S/.)]]/TABLA_BASE[[#This Row],[C/M UNIT.
(S/.)]])</f>
        <v>0</v>
      </c>
      <c r="AW22" s="277" t="str">
        <f>IF(TABLA_BASE[[#This Row],[MARGEN
%]]&gt;=0.5,"🟢 ALTO",IF(TABLA_BASE[[#This Row],[MARGEN
%]]&gt;=0.3,"🟡 MEDIO","🔴 BAJO"))</f>
        <v>🟡 MEDIO</v>
      </c>
    </row>
    <row r="23" spans="1:49" ht="16.5" hidden="1" thickTop="1" thickBot="1" x14ac:dyDescent="0.3">
      <c r="A23" s="277">
        <f>'🧾 Factura Comercial'!E25</f>
        <v>0</v>
      </c>
      <c r="B23" s="277" t="str">
        <f>'🧾 Factura Comercial'!F25</f>
        <v>Unid.</v>
      </c>
      <c r="C23" s="278">
        <f>'🧾 Factura Comercial'!G25</f>
        <v>0</v>
      </c>
      <c r="D23" s="279">
        <f>'🧾 Factura Comercial'!H25</f>
        <v>0</v>
      </c>
      <c r="E23" s="279">
        <f>'🧾 Factura Comercial'!I25</f>
        <v>0</v>
      </c>
      <c r="F23" s="280">
        <f>IF('🧾 Tributos Aduana'!$F$6=0,0,'🧾 Factura Comercial'!I25/'🧾 Tributos Aduana'!$F$6)</f>
        <v>0</v>
      </c>
      <c r="G23" s="281">
        <f>'🧾 Factura Comercial'!H25*'📋 Datos Generales'!$E$19</f>
        <v>0</v>
      </c>
      <c r="H23" s="281">
        <f>TABLA_BASE[[#This Row],[FOB UNIT.
(S/.)]]*TABLA_BASE[[#This Row],[CANTIDAD
(unid.)]]</f>
        <v>0</v>
      </c>
      <c r="I23" s="283">
        <f>IF('🧾 Tributos Aduana'!$F$6=0,0,'🧾 Tributos Aduana'!$F$17*('🧾 Factura Comercial'!H25/'🧾 Tributos Aduana'!$F$6))</f>
        <v>0</v>
      </c>
      <c r="J23" s="283">
        <f>TABLA_BASE[[#This Row],[ADV UNIT.
(US$)
⚠️COSTO]]*TABLA_BASE[[#This Row],[CANTIDAD
(unid.)]]</f>
        <v>0</v>
      </c>
      <c r="K23" s="282">
        <f>IF('🧾 Tributos Aduana'!$F$6=0,0,'🧾 Tributos Aduana'!$F$18*('🧾 Factura Comercial'!H25/'🧾 Tributos Aduana'!$F$6))</f>
        <v>0</v>
      </c>
      <c r="L23" s="283">
        <f>TABLA_BASE[[#This Row],[IPM UNIT.
(US$)
✅CF]]*TABLA_BASE[[#This Row],[CANTIDAD
(unid.)]]</f>
        <v>0</v>
      </c>
      <c r="M23" s="282">
        <f>IF('🧾 Tributos Aduana'!$F$6=0,0,'🧾 Tributos Aduana'!$F$19*('🧾 Factura Comercial'!H25/'🧾 Tributos Aduana'!$F$6))</f>
        <v>0</v>
      </c>
      <c r="N23" s="283">
        <f>TABLA_BASE[[#This Row],[IGV UNIT.
(US$)
✅CF]]*TABLA_BASE[[#This Row],[CANTIDAD
(unid.)]]</f>
        <v>0</v>
      </c>
      <c r="O23" s="283">
        <f>IF('🧾 Tributos Aduana'!$F$6=0,0,'🧾 Tributos Aduana'!$F$23*('🧾 Factura Comercial'!H25/'🧾 Tributos Aduana'!$F$6))</f>
        <v>0</v>
      </c>
      <c r="P23" s="283">
        <f>TABLA_BASE[[#This Row],[PERCEP.
UNIT.(US$)
✅CF]]*TABLA_BASE[[#This Row],[CANTIDAD
(unid.)]]</f>
        <v>0</v>
      </c>
      <c r="Q23" s="282">
        <f>TABLA_BASE[[#This Row],[ADV UNIT.
(US$)
⚠️COSTO]]+TABLA_BASE[[#This Row],[IPM UNIT.
(US$)
✅CF]]+TABLA_BASE[[#This Row],[IGV UNIT.
(US$)
✅CF]]</f>
        <v>0</v>
      </c>
      <c r="R23" s="283">
        <f>TABLA_BASE[[#This Row],[DEUDA
ADUANERA
UNIT.]]*TABLA_BASE[[#This Row],[CANTIDAD
(unid.)]]</f>
        <v>0</v>
      </c>
      <c r="S23" s="284">
        <f>TABLA_BASE[[#This Row],[ADV UNIT.
(US$)
⚠️COSTO]]*'📋 Datos Generales'!$E$19</f>
        <v>0</v>
      </c>
      <c r="T23" s="284">
        <f>TABLA_BASE[[#This Row],[ADV UNIT.
(S/.)]]*TABLA_BASE[[#This Row],[CANTIDAD
(unid.)]]</f>
        <v>0</v>
      </c>
      <c r="U23" s="284">
        <f>TABLA_BASE[[#This Row],[IPM UNIT.
(US$)
✅CF]]*'📋 Datos Generales'!$E$19</f>
        <v>0</v>
      </c>
      <c r="V23" s="284">
        <f>TABLA_BASE[[#This Row],[IPM UNIT.
(S/.)]]*TABLA_BASE[[#This Row],[CANTIDAD
(unid.)]]</f>
        <v>0</v>
      </c>
      <c r="W23" s="284">
        <f>TABLA_BASE[[#This Row],[IGV UNIT.
(US$)
✅CF]]*'📋 Datos Generales'!$E$19</f>
        <v>0</v>
      </c>
      <c r="X23" s="284">
        <f>TABLA_BASE[[#This Row],[IGV UNIT.
(S/.)]]*TABLA_BASE[[#This Row],[CANTIDAD
(unid.)]]</f>
        <v>0</v>
      </c>
      <c r="Y23" s="284">
        <f>TABLA_BASE[[#This Row],[PERCEP.
UNIT.(US$)
✅CF]]*'📋 Datos Generales'!$E$19</f>
        <v>0</v>
      </c>
      <c r="Z23" s="284">
        <f>TABLA_BASE[[#This Row],[PERCEP.
UNIT.(S/.)]]*TABLA_BASE[[#This Row],[CANTIDAD
(unid.)]]</f>
        <v>0</v>
      </c>
      <c r="AA23" s="282">
        <f>TABLA_BASE[[#This Row],[ADV UNIT.
(US$)
⚠️COSTO]]+TABLA_BASE[[#This Row],[IPM UNIT.
(US$)
✅CF]]+TABLA_BASE[[#This Row],[IGV UNIT.
(US$)
✅CF]]+TABLA_BASE[[#This Row],[PERCEP.
UNIT.(US$)
✅CF]]</f>
        <v>0</v>
      </c>
      <c r="AB23" s="282">
        <f>TABLA_BASE[[#This Row],[TOTAL PAGO
SUNAT
UNIT.(US$)]]*TABLA_BASE[[#This Row],[CANTIDAD
(unid.)]]</f>
        <v>0</v>
      </c>
      <c r="AC23" s="284">
        <f>TABLA_BASE[[#This Row],[TOTAL PAGO
SUNAT
UNIT.(US$)]]*'📋 Datos Generales'!$E$19</f>
        <v>0</v>
      </c>
      <c r="AD23" s="284">
        <f>TABLA_BASE[[#This Row],[TOTAL TRIB.
UNIT.(S/.)]]*TABLA_BASE[[#This Row],[CANTIDAD
(unid.)]]</f>
        <v>0</v>
      </c>
      <c r="AE23" s="282">
        <f>IF('🧾 Factura Comercial'!G25=0,0,'📦 Gastos Importación'!$E$28*(IF('🧾 Tributos Aduana'!$F$6=0,0,'🧾 Factura Comercial'!I25/'🧾 Tributos Aduana'!$F$6))/'🧾 Factura Comercial'!G25)</f>
        <v>0</v>
      </c>
      <c r="AF23" s="282">
        <f>TABLA_BASE[[#This Row],[GASTOS IMP.
UNIT.(US$)]]*TABLA_BASE[[#This Row],[CANTIDAD
(unid.)]]</f>
        <v>0</v>
      </c>
      <c r="AG23" s="284">
        <f>TABLA_BASE[[#This Row],[GASTOS IMP.
UNIT.(US$)]]*'📋 Datos Generales'!$E$19</f>
        <v>0</v>
      </c>
      <c r="AH23" s="284">
        <f>TABLA_BASE[[#This Row],[GASTOS IMP.
UNIT.(S/.)]]*TABLA_BASE[[#This Row],[CANTIDAD
(unid.)]]</f>
        <v>0</v>
      </c>
      <c r="AI23" s="283">
        <f>'🧮 Costos x Producto'!J27</f>
        <v>0</v>
      </c>
      <c r="AJ23" s="282">
        <f>'🧮 Costos x Producto'!K27</f>
        <v>0</v>
      </c>
      <c r="AK23" s="282">
        <f>IF('🧾 Factura Comercial'!G25=0,0,'🧾 Tributos Aduana'!$F$17*(IF('🧾 Tributos Aduana'!$F$6=0,0,'🧾 Factura Comercial'!I25/'🧾 Tributos Aduana'!$F$6))/'🧾 Factura Comercial'!G25)</f>
        <v>0</v>
      </c>
      <c r="AL23" s="282">
        <f>IF('🧾 Factura Comercial'!G25=0,0,'🏦 Crédito Fiscal'!$C$16*(IF('🧾 Tributos Aduana'!$F$6=0,0,'🧾 Factura Comercial'!I25/'🧾 Tributos Aduana'!$F$6))/'🧾 Factura Comercial'!G25)</f>
        <v>0</v>
      </c>
      <c r="AM23" s="284">
        <f>TABLA_BASE[[#This Row],[CF UNIT.
✅RECUP.
(US$)]]*'📋 Datos Generales'!$E$19</f>
        <v>0</v>
      </c>
      <c r="AN23" s="281">
        <f>TABLA_BASE[[#This Row],[CF UNIT.
✅RECUP.(S/.)]]*TABLA_BASE[[#This Row],[CANTIDAD
(unid.)]]</f>
        <v>0</v>
      </c>
      <c r="AO23" s="298">
        <f>'💰 Precio de Venta'!G28</f>
        <v>0.4</v>
      </c>
      <c r="AP23" s="284">
        <f>'💰 Precio de Venta'!H28</f>
        <v>0</v>
      </c>
      <c r="AQ23" s="284">
        <f>'💰 Precio de Venta'!I28</f>
        <v>0</v>
      </c>
      <c r="AR23" s="281">
        <f>'💰 Precio de Venta'!J28</f>
        <v>0</v>
      </c>
      <c r="AS23" s="300">
        <f>'💰 Precio de Venta'!K28</f>
        <v>0</v>
      </c>
      <c r="AT23" s="281">
        <f>TABLA_BASE[[#This Row],[GANANCIA
UNIT.(S/.)]]*'🧾 Factura Comercial'!G25</f>
        <v>0</v>
      </c>
      <c r="AU23" s="280">
        <f>IF(TABLA_BASE[[#This Row],[PRECIO VTA.
c/IGV(S/.)]]=0,0,TABLA_BASE[[#This Row],[GANANCIA
UNIT.(S/.)]]/TABLA_BASE[[#This Row],[PRECIO VTA.
c/IGV(S/.)]])</f>
        <v>0</v>
      </c>
      <c r="AV23" s="280">
        <f>IF(TABLA_BASE[[#This Row],[C/M UNIT.
(S/.)]]=0,0,TABLA_BASE[[#This Row],[GANANCIA
UNIT.(S/.)]]/TABLA_BASE[[#This Row],[C/M UNIT.
(S/.)]])</f>
        <v>0</v>
      </c>
      <c r="AW23" s="277" t="str">
        <f>IF(TABLA_BASE[[#This Row],[MARGEN
%]]&gt;=0.5,"🟢 ALTO",IF(TABLA_BASE[[#This Row],[MARGEN
%]]&gt;=0.3,"🟡 MEDIO","🔴 BAJO"))</f>
        <v>🟡 MEDIO</v>
      </c>
    </row>
    <row r="24" spans="1:49" ht="16.5" hidden="1" thickTop="1" thickBot="1" x14ac:dyDescent="0.3">
      <c r="A24" s="277">
        <f>'🧾 Factura Comercial'!E26</f>
        <v>0</v>
      </c>
      <c r="B24" s="277" t="str">
        <f>'🧾 Factura Comercial'!F26</f>
        <v>Unid.</v>
      </c>
      <c r="C24" s="278">
        <f>'🧾 Factura Comercial'!G26</f>
        <v>0</v>
      </c>
      <c r="D24" s="279">
        <f>'🧾 Factura Comercial'!H26</f>
        <v>0</v>
      </c>
      <c r="E24" s="279">
        <f>'🧾 Factura Comercial'!I26</f>
        <v>0</v>
      </c>
      <c r="F24" s="280">
        <f>IF('🧾 Tributos Aduana'!$F$6=0,0,'🧾 Factura Comercial'!I26/'🧾 Tributos Aduana'!$F$6)</f>
        <v>0</v>
      </c>
      <c r="G24" s="281">
        <f>'🧾 Factura Comercial'!H26*'📋 Datos Generales'!$E$19</f>
        <v>0</v>
      </c>
      <c r="H24" s="281">
        <f>TABLA_BASE[[#This Row],[FOB UNIT.
(S/.)]]*TABLA_BASE[[#This Row],[CANTIDAD
(unid.)]]</f>
        <v>0</v>
      </c>
      <c r="I24" s="283">
        <f>IF('🧾 Tributos Aduana'!$F$6=0,0,'🧾 Tributos Aduana'!$F$17*('🧾 Factura Comercial'!H26/'🧾 Tributos Aduana'!$F$6))</f>
        <v>0</v>
      </c>
      <c r="J24" s="283">
        <f>TABLA_BASE[[#This Row],[ADV UNIT.
(US$)
⚠️COSTO]]*TABLA_BASE[[#This Row],[CANTIDAD
(unid.)]]</f>
        <v>0</v>
      </c>
      <c r="K24" s="282">
        <f>IF('🧾 Tributos Aduana'!$F$6=0,0,'🧾 Tributos Aduana'!$F$18*('🧾 Factura Comercial'!H26/'🧾 Tributos Aduana'!$F$6))</f>
        <v>0</v>
      </c>
      <c r="L24" s="283">
        <f>TABLA_BASE[[#This Row],[IPM UNIT.
(US$)
✅CF]]*TABLA_BASE[[#This Row],[CANTIDAD
(unid.)]]</f>
        <v>0</v>
      </c>
      <c r="M24" s="282">
        <f>IF('🧾 Tributos Aduana'!$F$6=0,0,'🧾 Tributos Aduana'!$F$19*('🧾 Factura Comercial'!H26/'🧾 Tributos Aduana'!$F$6))</f>
        <v>0</v>
      </c>
      <c r="N24" s="283">
        <f>TABLA_BASE[[#This Row],[IGV UNIT.
(US$)
✅CF]]*TABLA_BASE[[#This Row],[CANTIDAD
(unid.)]]</f>
        <v>0</v>
      </c>
      <c r="O24" s="283">
        <f>IF('🧾 Tributos Aduana'!$F$6=0,0,'🧾 Tributos Aduana'!$F$23*('🧾 Factura Comercial'!H26/'🧾 Tributos Aduana'!$F$6))</f>
        <v>0</v>
      </c>
      <c r="P24" s="283">
        <f>TABLA_BASE[[#This Row],[PERCEP.
UNIT.(US$)
✅CF]]*TABLA_BASE[[#This Row],[CANTIDAD
(unid.)]]</f>
        <v>0</v>
      </c>
      <c r="Q24" s="282">
        <f>TABLA_BASE[[#This Row],[ADV UNIT.
(US$)
⚠️COSTO]]+TABLA_BASE[[#This Row],[IPM UNIT.
(US$)
✅CF]]+TABLA_BASE[[#This Row],[IGV UNIT.
(US$)
✅CF]]</f>
        <v>0</v>
      </c>
      <c r="R24" s="283">
        <f>TABLA_BASE[[#This Row],[DEUDA
ADUANERA
UNIT.]]*TABLA_BASE[[#This Row],[CANTIDAD
(unid.)]]</f>
        <v>0</v>
      </c>
      <c r="S24" s="284">
        <f>TABLA_BASE[[#This Row],[ADV UNIT.
(US$)
⚠️COSTO]]*'📋 Datos Generales'!$E$19</f>
        <v>0</v>
      </c>
      <c r="T24" s="284">
        <f>TABLA_BASE[[#This Row],[ADV UNIT.
(S/.)]]*TABLA_BASE[[#This Row],[CANTIDAD
(unid.)]]</f>
        <v>0</v>
      </c>
      <c r="U24" s="284">
        <f>TABLA_BASE[[#This Row],[IPM UNIT.
(US$)
✅CF]]*'📋 Datos Generales'!$E$19</f>
        <v>0</v>
      </c>
      <c r="V24" s="284">
        <f>TABLA_BASE[[#This Row],[IPM UNIT.
(S/.)]]*TABLA_BASE[[#This Row],[CANTIDAD
(unid.)]]</f>
        <v>0</v>
      </c>
      <c r="W24" s="284">
        <f>TABLA_BASE[[#This Row],[IGV UNIT.
(US$)
✅CF]]*'📋 Datos Generales'!$E$19</f>
        <v>0</v>
      </c>
      <c r="X24" s="284">
        <f>TABLA_BASE[[#This Row],[IGV UNIT.
(S/.)]]*TABLA_BASE[[#This Row],[CANTIDAD
(unid.)]]</f>
        <v>0</v>
      </c>
      <c r="Y24" s="284">
        <f>TABLA_BASE[[#This Row],[PERCEP.
UNIT.(US$)
✅CF]]*'📋 Datos Generales'!$E$19</f>
        <v>0</v>
      </c>
      <c r="Z24" s="284">
        <f>TABLA_BASE[[#This Row],[PERCEP.
UNIT.(S/.)]]*TABLA_BASE[[#This Row],[CANTIDAD
(unid.)]]</f>
        <v>0</v>
      </c>
      <c r="AA24" s="282">
        <f>TABLA_BASE[[#This Row],[ADV UNIT.
(US$)
⚠️COSTO]]+TABLA_BASE[[#This Row],[IPM UNIT.
(US$)
✅CF]]+TABLA_BASE[[#This Row],[IGV UNIT.
(US$)
✅CF]]+TABLA_BASE[[#This Row],[PERCEP.
UNIT.(US$)
✅CF]]</f>
        <v>0</v>
      </c>
      <c r="AB24" s="282">
        <f>TABLA_BASE[[#This Row],[TOTAL PAGO
SUNAT
UNIT.(US$)]]*TABLA_BASE[[#This Row],[CANTIDAD
(unid.)]]</f>
        <v>0</v>
      </c>
      <c r="AC24" s="284">
        <f>TABLA_BASE[[#This Row],[TOTAL PAGO
SUNAT
UNIT.(US$)]]*'📋 Datos Generales'!$E$19</f>
        <v>0</v>
      </c>
      <c r="AD24" s="284">
        <f>TABLA_BASE[[#This Row],[TOTAL TRIB.
UNIT.(S/.)]]*TABLA_BASE[[#This Row],[CANTIDAD
(unid.)]]</f>
        <v>0</v>
      </c>
      <c r="AE24" s="282">
        <f>IF('🧾 Factura Comercial'!G26=0,0,'📦 Gastos Importación'!$E$28*(IF('🧾 Tributos Aduana'!$F$6=0,0,'🧾 Factura Comercial'!I26/'🧾 Tributos Aduana'!$F$6))/'🧾 Factura Comercial'!G26)</f>
        <v>0</v>
      </c>
      <c r="AF24" s="282">
        <f>TABLA_BASE[[#This Row],[GASTOS IMP.
UNIT.(US$)]]*TABLA_BASE[[#This Row],[CANTIDAD
(unid.)]]</f>
        <v>0</v>
      </c>
      <c r="AG24" s="284">
        <f>TABLA_BASE[[#This Row],[GASTOS IMP.
UNIT.(US$)]]*'📋 Datos Generales'!$E$19</f>
        <v>0</v>
      </c>
      <c r="AH24" s="284">
        <f>TABLA_BASE[[#This Row],[GASTOS IMP.
UNIT.(S/.)]]*TABLA_BASE[[#This Row],[CANTIDAD
(unid.)]]</f>
        <v>0</v>
      </c>
      <c r="AI24" s="283">
        <f>'🧮 Costos x Producto'!J28</f>
        <v>0</v>
      </c>
      <c r="AJ24" s="282">
        <f>'🧮 Costos x Producto'!K28</f>
        <v>0</v>
      </c>
      <c r="AK24" s="282">
        <f>IF('🧾 Factura Comercial'!G26=0,0,'🧾 Tributos Aduana'!$F$17*(IF('🧾 Tributos Aduana'!$F$6=0,0,'🧾 Factura Comercial'!I26/'🧾 Tributos Aduana'!$F$6))/'🧾 Factura Comercial'!G26)</f>
        <v>0</v>
      </c>
      <c r="AL24" s="282">
        <f>IF('🧾 Factura Comercial'!G26=0,0,'🏦 Crédito Fiscal'!$C$16*(IF('🧾 Tributos Aduana'!$F$6=0,0,'🧾 Factura Comercial'!I26/'🧾 Tributos Aduana'!$F$6))/'🧾 Factura Comercial'!G26)</f>
        <v>0</v>
      </c>
      <c r="AM24" s="284">
        <f>TABLA_BASE[[#This Row],[CF UNIT.
✅RECUP.
(US$)]]*'📋 Datos Generales'!$E$19</f>
        <v>0</v>
      </c>
      <c r="AN24" s="281">
        <f>TABLA_BASE[[#This Row],[CF UNIT.
✅RECUP.(S/.)]]*TABLA_BASE[[#This Row],[CANTIDAD
(unid.)]]</f>
        <v>0</v>
      </c>
      <c r="AO24" s="298">
        <f>'💰 Precio de Venta'!G29</f>
        <v>0.4</v>
      </c>
      <c r="AP24" s="284">
        <f>'💰 Precio de Venta'!H29</f>
        <v>0</v>
      </c>
      <c r="AQ24" s="284">
        <f>'💰 Precio de Venta'!I29</f>
        <v>0</v>
      </c>
      <c r="AR24" s="281">
        <f>'💰 Precio de Venta'!J29</f>
        <v>0</v>
      </c>
      <c r="AS24" s="300">
        <f>'💰 Precio de Venta'!K29</f>
        <v>0</v>
      </c>
      <c r="AT24" s="281">
        <f>TABLA_BASE[[#This Row],[GANANCIA
UNIT.(S/.)]]*'🧾 Factura Comercial'!G26</f>
        <v>0</v>
      </c>
      <c r="AU24" s="280">
        <f>IF(TABLA_BASE[[#This Row],[PRECIO VTA.
c/IGV(S/.)]]=0,0,TABLA_BASE[[#This Row],[GANANCIA
UNIT.(S/.)]]/TABLA_BASE[[#This Row],[PRECIO VTA.
c/IGV(S/.)]])</f>
        <v>0</v>
      </c>
      <c r="AV24" s="280">
        <f>IF(TABLA_BASE[[#This Row],[C/M UNIT.
(S/.)]]=0,0,TABLA_BASE[[#This Row],[GANANCIA
UNIT.(S/.)]]/TABLA_BASE[[#This Row],[C/M UNIT.
(S/.)]])</f>
        <v>0</v>
      </c>
      <c r="AW24" s="277" t="str">
        <f>IF(TABLA_BASE[[#This Row],[MARGEN
%]]&gt;=0.5,"🟢 ALTO",IF(TABLA_BASE[[#This Row],[MARGEN
%]]&gt;=0.3,"🟡 MEDIO","🔴 BAJO"))</f>
        <v>🟡 MEDIO</v>
      </c>
    </row>
    <row r="25" spans="1:49" ht="16.5" hidden="1" thickTop="1" thickBot="1" x14ac:dyDescent="0.3">
      <c r="A25" s="277">
        <f>'🧾 Factura Comercial'!E27</f>
        <v>0</v>
      </c>
      <c r="B25" s="277" t="str">
        <f>'🧾 Factura Comercial'!F27</f>
        <v>Unid.</v>
      </c>
      <c r="C25" s="278">
        <f>'🧾 Factura Comercial'!G27</f>
        <v>0</v>
      </c>
      <c r="D25" s="279">
        <f>'🧾 Factura Comercial'!H27</f>
        <v>0</v>
      </c>
      <c r="E25" s="279">
        <f>'🧾 Factura Comercial'!I27</f>
        <v>0</v>
      </c>
      <c r="F25" s="280">
        <f>IF('🧾 Tributos Aduana'!$F$6=0,0,'🧾 Factura Comercial'!I27/'🧾 Tributos Aduana'!$F$6)</f>
        <v>0</v>
      </c>
      <c r="G25" s="281">
        <f>'🧾 Factura Comercial'!H27*'📋 Datos Generales'!$E$19</f>
        <v>0</v>
      </c>
      <c r="H25" s="281">
        <f>TABLA_BASE[[#This Row],[FOB UNIT.
(S/.)]]*TABLA_BASE[[#This Row],[CANTIDAD
(unid.)]]</f>
        <v>0</v>
      </c>
      <c r="I25" s="283">
        <f>IF('🧾 Tributos Aduana'!$F$6=0,0,'🧾 Tributos Aduana'!$F$17*('🧾 Factura Comercial'!H27/'🧾 Tributos Aduana'!$F$6))</f>
        <v>0</v>
      </c>
      <c r="J25" s="283">
        <f>TABLA_BASE[[#This Row],[ADV UNIT.
(US$)
⚠️COSTO]]*TABLA_BASE[[#This Row],[CANTIDAD
(unid.)]]</f>
        <v>0</v>
      </c>
      <c r="K25" s="282">
        <f>IF('🧾 Tributos Aduana'!$F$6=0,0,'🧾 Tributos Aduana'!$F$18*('🧾 Factura Comercial'!H27/'🧾 Tributos Aduana'!$F$6))</f>
        <v>0</v>
      </c>
      <c r="L25" s="283">
        <f>TABLA_BASE[[#This Row],[IPM UNIT.
(US$)
✅CF]]*TABLA_BASE[[#This Row],[CANTIDAD
(unid.)]]</f>
        <v>0</v>
      </c>
      <c r="M25" s="282">
        <f>IF('🧾 Tributos Aduana'!$F$6=0,0,'🧾 Tributos Aduana'!$F$19*('🧾 Factura Comercial'!H27/'🧾 Tributos Aduana'!$F$6))</f>
        <v>0</v>
      </c>
      <c r="N25" s="283">
        <f>TABLA_BASE[[#This Row],[IGV UNIT.
(US$)
✅CF]]*TABLA_BASE[[#This Row],[CANTIDAD
(unid.)]]</f>
        <v>0</v>
      </c>
      <c r="O25" s="283">
        <f>IF('🧾 Tributos Aduana'!$F$6=0,0,'🧾 Tributos Aduana'!$F$23*('🧾 Factura Comercial'!H27/'🧾 Tributos Aduana'!$F$6))</f>
        <v>0</v>
      </c>
      <c r="P25" s="283">
        <f>TABLA_BASE[[#This Row],[PERCEP.
UNIT.(US$)
✅CF]]*TABLA_BASE[[#This Row],[CANTIDAD
(unid.)]]</f>
        <v>0</v>
      </c>
      <c r="Q25" s="282">
        <f>TABLA_BASE[[#This Row],[ADV UNIT.
(US$)
⚠️COSTO]]+TABLA_BASE[[#This Row],[IPM UNIT.
(US$)
✅CF]]+TABLA_BASE[[#This Row],[IGV UNIT.
(US$)
✅CF]]</f>
        <v>0</v>
      </c>
      <c r="R25" s="283">
        <f>TABLA_BASE[[#This Row],[DEUDA
ADUANERA
UNIT.]]*TABLA_BASE[[#This Row],[CANTIDAD
(unid.)]]</f>
        <v>0</v>
      </c>
      <c r="S25" s="284">
        <f>TABLA_BASE[[#This Row],[ADV UNIT.
(US$)
⚠️COSTO]]*'📋 Datos Generales'!$E$19</f>
        <v>0</v>
      </c>
      <c r="T25" s="284">
        <f>TABLA_BASE[[#This Row],[ADV UNIT.
(S/.)]]*TABLA_BASE[[#This Row],[CANTIDAD
(unid.)]]</f>
        <v>0</v>
      </c>
      <c r="U25" s="284">
        <f>TABLA_BASE[[#This Row],[IPM UNIT.
(US$)
✅CF]]*'📋 Datos Generales'!$E$19</f>
        <v>0</v>
      </c>
      <c r="V25" s="284">
        <f>TABLA_BASE[[#This Row],[IPM UNIT.
(S/.)]]*TABLA_BASE[[#This Row],[CANTIDAD
(unid.)]]</f>
        <v>0</v>
      </c>
      <c r="W25" s="284">
        <f>TABLA_BASE[[#This Row],[IGV UNIT.
(US$)
✅CF]]*'📋 Datos Generales'!$E$19</f>
        <v>0</v>
      </c>
      <c r="X25" s="284">
        <f>TABLA_BASE[[#This Row],[IGV UNIT.
(S/.)]]*TABLA_BASE[[#This Row],[CANTIDAD
(unid.)]]</f>
        <v>0</v>
      </c>
      <c r="Y25" s="284">
        <f>TABLA_BASE[[#This Row],[PERCEP.
UNIT.(US$)
✅CF]]*'📋 Datos Generales'!$E$19</f>
        <v>0</v>
      </c>
      <c r="Z25" s="284">
        <f>TABLA_BASE[[#This Row],[PERCEP.
UNIT.(S/.)]]*TABLA_BASE[[#This Row],[CANTIDAD
(unid.)]]</f>
        <v>0</v>
      </c>
      <c r="AA25" s="282">
        <f>TABLA_BASE[[#This Row],[ADV UNIT.
(US$)
⚠️COSTO]]+TABLA_BASE[[#This Row],[IPM UNIT.
(US$)
✅CF]]+TABLA_BASE[[#This Row],[IGV UNIT.
(US$)
✅CF]]+TABLA_BASE[[#This Row],[PERCEP.
UNIT.(US$)
✅CF]]</f>
        <v>0</v>
      </c>
      <c r="AB25" s="282">
        <f>TABLA_BASE[[#This Row],[TOTAL PAGO
SUNAT
UNIT.(US$)]]*TABLA_BASE[[#This Row],[CANTIDAD
(unid.)]]</f>
        <v>0</v>
      </c>
      <c r="AC25" s="284">
        <f>TABLA_BASE[[#This Row],[TOTAL PAGO
SUNAT
UNIT.(US$)]]*'📋 Datos Generales'!$E$19</f>
        <v>0</v>
      </c>
      <c r="AD25" s="284">
        <f>TABLA_BASE[[#This Row],[TOTAL TRIB.
UNIT.(S/.)]]*TABLA_BASE[[#This Row],[CANTIDAD
(unid.)]]</f>
        <v>0</v>
      </c>
      <c r="AE25" s="282">
        <f>IF('🧾 Factura Comercial'!G27=0,0,'📦 Gastos Importación'!$E$28*(IF('🧾 Tributos Aduana'!$F$6=0,0,'🧾 Factura Comercial'!I27/'🧾 Tributos Aduana'!$F$6))/'🧾 Factura Comercial'!G27)</f>
        <v>0</v>
      </c>
      <c r="AF25" s="282">
        <f>TABLA_BASE[[#This Row],[GASTOS IMP.
UNIT.(US$)]]*TABLA_BASE[[#This Row],[CANTIDAD
(unid.)]]</f>
        <v>0</v>
      </c>
      <c r="AG25" s="284">
        <f>TABLA_BASE[[#This Row],[GASTOS IMP.
UNIT.(US$)]]*'📋 Datos Generales'!$E$19</f>
        <v>0</v>
      </c>
      <c r="AH25" s="284">
        <f>TABLA_BASE[[#This Row],[GASTOS IMP.
UNIT.(S/.)]]*TABLA_BASE[[#This Row],[CANTIDAD
(unid.)]]</f>
        <v>0</v>
      </c>
      <c r="AI25" s="283">
        <f>'🧮 Costos x Producto'!J29</f>
        <v>0</v>
      </c>
      <c r="AJ25" s="282">
        <f>'🧮 Costos x Producto'!K29</f>
        <v>0</v>
      </c>
      <c r="AK25" s="282">
        <f>IF('🧾 Factura Comercial'!G27=0,0,'🧾 Tributos Aduana'!$F$17*(IF('🧾 Tributos Aduana'!$F$6=0,0,'🧾 Factura Comercial'!I27/'🧾 Tributos Aduana'!$F$6))/'🧾 Factura Comercial'!G27)</f>
        <v>0</v>
      </c>
      <c r="AL25" s="282">
        <f>IF('🧾 Factura Comercial'!G27=0,0,'🏦 Crédito Fiscal'!$C$16*(IF('🧾 Tributos Aduana'!$F$6=0,0,'🧾 Factura Comercial'!I27/'🧾 Tributos Aduana'!$F$6))/'🧾 Factura Comercial'!G27)</f>
        <v>0</v>
      </c>
      <c r="AM25" s="284">
        <f>TABLA_BASE[[#This Row],[CF UNIT.
✅RECUP.
(US$)]]*'📋 Datos Generales'!$E$19</f>
        <v>0</v>
      </c>
      <c r="AN25" s="281">
        <f>TABLA_BASE[[#This Row],[CF UNIT.
✅RECUP.(S/.)]]*TABLA_BASE[[#This Row],[CANTIDAD
(unid.)]]</f>
        <v>0</v>
      </c>
      <c r="AO25" s="298">
        <f>'💰 Precio de Venta'!G30</f>
        <v>0.4</v>
      </c>
      <c r="AP25" s="284">
        <f>'💰 Precio de Venta'!H30</f>
        <v>0</v>
      </c>
      <c r="AQ25" s="284">
        <f>'💰 Precio de Venta'!I30</f>
        <v>0</v>
      </c>
      <c r="AR25" s="281">
        <f>'💰 Precio de Venta'!J30</f>
        <v>0</v>
      </c>
      <c r="AS25" s="300">
        <f>'💰 Precio de Venta'!K30</f>
        <v>0</v>
      </c>
      <c r="AT25" s="281">
        <f>TABLA_BASE[[#This Row],[GANANCIA
UNIT.(S/.)]]*'🧾 Factura Comercial'!G27</f>
        <v>0</v>
      </c>
      <c r="AU25" s="280">
        <f>IF(TABLA_BASE[[#This Row],[PRECIO VTA.
c/IGV(S/.)]]=0,0,TABLA_BASE[[#This Row],[GANANCIA
UNIT.(S/.)]]/TABLA_BASE[[#This Row],[PRECIO VTA.
c/IGV(S/.)]])</f>
        <v>0</v>
      </c>
      <c r="AV25" s="280">
        <f>IF(TABLA_BASE[[#This Row],[C/M UNIT.
(S/.)]]=0,0,TABLA_BASE[[#This Row],[GANANCIA
UNIT.(S/.)]]/TABLA_BASE[[#This Row],[C/M UNIT.
(S/.)]])</f>
        <v>0</v>
      </c>
      <c r="AW25" s="277" t="str">
        <f>IF(TABLA_BASE[[#This Row],[MARGEN
%]]&gt;=0.5,"🟢 ALTO",IF(TABLA_BASE[[#This Row],[MARGEN
%]]&gt;=0.3,"🟡 MEDIO","🔴 BAJO"))</f>
        <v>🟡 MEDIO</v>
      </c>
    </row>
    <row r="26" spans="1:49" ht="16.5" hidden="1" thickTop="1" thickBot="1" x14ac:dyDescent="0.3">
      <c r="A26" s="277">
        <f>'🧾 Factura Comercial'!E28</f>
        <v>0</v>
      </c>
      <c r="B26" s="277" t="str">
        <f>'🧾 Factura Comercial'!F28</f>
        <v>Unid.</v>
      </c>
      <c r="C26" s="278">
        <f>'🧾 Factura Comercial'!G28</f>
        <v>0</v>
      </c>
      <c r="D26" s="279">
        <f>'🧾 Factura Comercial'!H28</f>
        <v>0</v>
      </c>
      <c r="E26" s="279">
        <f>'🧾 Factura Comercial'!I28</f>
        <v>0</v>
      </c>
      <c r="F26" s="280">
        <f>IF('🧾 Tributos Aduana'!$F$6=0,0,'🧾 Factura Comercial'!I28/'🧾 Tributos Aduana'!$F$6)</f>
        <v>0</v>
      </c>
      <c r="G26" s="281">
        <f>'🧾 Factura Comercial'!H28*'📋 Datos Generales'!$E$19</f>
        <v>0</v>
      </c>
      <c r="H26" s="281">
        <f>TABLA_BASE[[#This Row],[FOB UNIT.
(S/.)]]*TABLA_BASE[[#This Row],[CANTIDAD
(unid.)]]</f>
        <v>0</v>
      </c>
      <c r="I26" s="283">
        <f>IF('🧾 Tributos Aduana'!$F$6=0,0,'🧾 Tributos Aduana'!$F$17*('🧾 Factura Comercial'!H28/'🧾 Tributos Aduana'!$F$6))</f>
        <v>0</v>
      </c>
      <c r="J26" s="283">
        <f>TABLA_BASE[[#This Row],[ADV UNIT.
(US$)
⚠️COSTO]]*TABLA_BASE[[#This Row],[CANTIDAD
(unid.)]]</f>
        <v>0</v>
      </c>
      <c r="K26" s="282">
        <f>IF('🧾 Tributos Aduana'!$F$6=0,0,'🧾 Tributos Aduana'!$F$18*('🧾 Factura Comercial'!H28/'🧾 Tributos Aduana'!$F$6))</f>
        <v>0</v>
      </c>
      <c r="L26" s="283">
        <f>TABLA_BASE[[#This Row],[IPM UNIT.
(US$)
✅CF]]*TABLA_BASE[[#This Row],[CANTIDAD
(unid.)]]</f>
        <v>0</v>
      </c>
      <c r="M26" s="282">
        <f>IF('🧾 Tributos Aduana'!$F$6=0,0,'🧾 Tributos Aduana'!$F$19*('🧾 Factura Comercial'!H28/'🧾 Tributos Aduana'!$F$6))</f>
        <v>0</v>
      </c>
      <c r="N26" s="283">
        <f>TABLA_BASE[[#This Row],[IGV UNIT.
(US$)
✅CF]]*TABLA_BASE[[#This Row],[CANTIDAD
(unid.)]]</f>
        <v>0</v>
      </c>
      <c r="O26" s="283">
        <f>IF('🧾 Tributos Aduana'!$F$6=0,0,'🧾 Tributos Aduana'!$F$23*('🧾 Factura Comercial'!H28/'🧾 Tributos Aduana'!$F$6))</f>
        <v>0</v>
      </c>
      <c r="P26" s="283">
        <f>TABLA_BASE[[#This Row],[PERCEP.
UNIT.(US$)
✅CF]]*TABLA_BASE[[#This Row],[CANTIDAD
(unid.)]]</f>
        <v>0</v>
      </c>
      <c r="Q26" s="282">
        <f>TABLA_BASE[[#This Row],[ADV UNIT.
(US$)
⚠️COSTO]]+TABLA_BASE[[#This Row],[IPM UNIT.
(US$)
✅CF]]+TABLA_BASE[[#This Row],[IGV UNIT.
(US$)
✅CF]]</f>
        <v>0</v>
      </c>
      <c r="R26" s="283">
        <f>TABLA_BASE[[#This Row],[DEUDA
ADUANERA
UNIT.]]*TABLA_BASE[[#This Row],[CANTIDAD
(unid.)]]</f>
        <v>0</v>
      </c>
      <c r="S26" s="284">
        <f>TABLA_BASE[[#This Row],[ADV UNIT.
(US$)
⚠️COSTO]]*'📋 Datos Generales'!$E$19</f>
        <v>0</v>
      </c>
      <c r="T26" s="284">
        <f>TABLA_BASE[[#This Row],[ADV UNIT.
(S/.)]]*TABLA_BASE[[#This Row],[CANTIDAD
(unid.)]]</f>
        <v>0</v>
      </c>
      <c r="U26" s="284">
        <f>TABLA_BASE[[#This Row],[IPM UNIT.
(US$)
✅CF]]*'📋 Datos Generales'!$E$19</f>
        <v>0</v>
      </c>
      <c r="V26" s="284">
        <f>TABLA_BASE[[#This Row],[IPM UNIT.
(S/.)]]*TABLA_BASE[[#This Row],[CANTIDAD
(unid.)]]</f>
        <v>0</v>
      </c>
      <c r="W26" s="284">
        <f>TABLA_BASE[[#This Row],[IGV UNIT.
(US$)
✅CF]]*'📋 Datos Generales'!$E$19</f>
        <v>0</v>
      </c>
      <c r="X26" s="284">
        <f>TABLA_BASE[[#This Row],[IGV UNIT.
(S/.)]]*TABLA_BASE[[#This Row],[CANTIDAD
(unid.)]]</f>
        <v>0</v>
      </c>
      <c r="Y26" s="284">
        <f>TABLA_BASE[[#This Row],[PERCEP.
UNIT.(US$)
✅CF]]*'📋 Datos Generales'!$E$19</f>
        <v>0</v>
      </c>
      <c r="Z26" s="284">
        <f>TABLA_BASE[[#This Row],[PERCEP.
UNIT.(S/.)]]*TABLA_BASE[[#This Row],[CANTIDAD
(unid.)]]</f>
        <v>0</v>
      </c>
      <c r="AA26" s="282">
        <f>TABLA_BASE[[#This Row],[ADV UNIT.
(US$)
⚠️COSTO]]+TABLA_BASE[[#This Row],[IPM UNIT.
(US$)
✅CF]]+TABLA_BASE[[#This Row],[IGV UNIT.
(US$)
✅CF]]+TABLA_BASE[[#This Row],[PERCEP.
UNIT.(US$)
✅CF]]</f>
        <v>0</v>
      </c>
      <c r="AB26" s="282">
        <f>TABLA_BASE[[#This Row],[TOTAL PAGO
SUNAT
UNIT.(US$)]]*TABLA_BASE[[#This Row],[CANTIDAD
(unid.)]]</f>
        <v>0</v>
      </c>
      <c r="AC26" s="284">
        <f>TABLA_BASE[[#This Row],[TOTAL PAGO
SUNAT
UNIT.(US$)]]*'📋 Datos Generales'!$E$19</f>
        <v>0</v>
      </c>
      <c r="AD26" s="284">
        <f>TABLA_BASE[[#This Row],[TOTAL TRIB.
UNIT.(S/.)]]*TABLA_BASE[[#This Row],[CANTIDAD
(unid.)]]</f>
        <v>0</v>
      </c>
      <c r="AE26" s="282">
        <f>IF('🧾 Factura Comercial'!G28=0,0,'📦 Gastos Importación'!$E$28*(IF('🧾 Tributos Aduana'!$F$6=0,0,'🧾 Factura Comercial'!I28/'🧾 Tributos Aduana'!$F$6))/'🧾 Factura Comercial'!G28)</f>
        <v>0</v>
      </c>
      <c r="AF26" s="282">
        <f>TABLA_BASE[[#This Row],[GASTOS IMP.
UNIT.(US$)]]*TABLA_BASE[[#This Row],[CANTIDAD
(unid.)]]</f>
        <v>0</v>
      </c>
      <c r="AG26" s="284">
        <f>TABLA_BASE[[#This Row],[GASTOS IMP.
UNIT.(US$)]]*'📋 Datos Generales'!$E$19</f>
        <v>0</v>
      </c>
      <c r="AH26" s="284">
        <f>TABLA_BASE[[#This Row],[GASTOS IMP.
UNIT.(S/.)]]*TABLA_BASE[[#This Row],[CANTIDAD
(unid.)]]</f>
        <v>0</v>
      </c>
      <c r="AI26" s="283">
        <f>'🧮 Costos x Producto'!J30</f>
        <v>0</v>
      </c>
      <c r="AJ26" s="282">
        <f>'🧮 Costos x Producto'!K30</f>
        <v>0</v>
      </c>
      <c r="AK26" s="282">
        <f>IF('🧾 Factura Comercial'!G28=0,0,'🧾 Tributos Aduana'!$F$17*(IF('🧾 Tributos Aduana'!$F$6=0,0,'🧾 Factura Comercial'!I28/'🧾 Tributos Aduana'!$F$6))/'🧾 Factura Comercial'!G28)</f>
        <v>0</v>
      </c>
      <c r="AL26" s="282">
        <f>IF('🧾 Factura Comercial'!G28=0,0,'🏦 Crédito Fiscal'!$C$16*(IF('🧾 Tributos Aduana'!$F$6=0,0,'🧾 Factura Comercial'!I28/'🧾 Tributos Aduana'!$F$6))/'🧾 Factura Comercial'!G28)</f>
        <v>0</v>
      </c>
      <c r="AM26" s="284">
        <f>TABLA_BASE[[#This Row],[CF UNIT.
✅RECUP.
(US$)]]*'📋 Datos Generales'!$E$19</f>
        <v>0</v>
      </c>
      <c r="AN26" s="281">
        <f>TABLA_BASE[[#This Row],[CF UNIT.
✅RECUP.(S/.)]]*TABLA_BASE[[#This Row],[CANTIDAD
(unid.)]]</f>
        <v>0</v>
      </c>
      <c r="AO26" s="298">
        <f>'💰 Precio de Venta'!G31</f>
        <v>0.4</v>
      </c>
      <c r="AP26" s="284">
        <f>'💰 Precio de Venta'!H31</f>
        <v>0</v>
      </c>
      <c r="AQ26" s="284">
        <f>'💰 Precio de Venta'!I31</f>
        <v>0</v>
      </c>
      <c r="AR26" s="281">
        <f>'💰 Precio de Venta'!J31</f>
        <v>0</v>
      </c>
      <c r="AS26" s="300">
        <f>'💰 Precio de Venta'!K31</f>
        <v>0</v>
      </c>
      <c r="AT26" s="281">
        <f>TABLA_BASE[[#This Row],[GANANCIA
UNIT.(S/.)]]*'🧾 Factura Comercial'!G28</f>
        <v>0</v>
      </c>
      <c r="AU26" s="280">
        <f>IF(TABLA_BASE[[#This Row],[PRECIO VTA.
c/IGV(S/.)]]=0,0,TABLA_BASE[[#This Row],[GANANCIA
UNIT.(S/.)]]/TABLA_BASE[[#This Row],[PRECIO VTA.
c/IGV(S/.)]])</f>
        <v>0</v>
      </c>
      <c r="AV26" s="280">
        <f>IF(TABLA_BASE[[#This Row],[C/M UNIT.
(S/.)]]=0,0,TABLA_BASE[[#This Row],[GANANCIA
UNIT.(S/.)]]/TABLA_BASE[[#This Row],[C/M UNIT.
(S/.)]])</f>
        <v>0</v>
      </c>
      <c r="AW26" s="277" t="str">
        <f>IF(TABLA_BASE[[#This Row],[MARGEN
%]]&gt;=0.5,"🟢 ALTO",IF(TABLA_BASE[[#This Row],[MARGEN
%]]&gt;=0.3,"🟡 MEDIO","🔴 BAJO"))</f>
        <v>🟡 MEDIO</v>
      </c>
    </row>
    <row r="27" spans="1:49" ht="16.5" hidden="1" thickTop="1" thickBot="1" x14ac:dyDescent="0.3">
      <c r="A27" s="277">
        <f>'🧾 Factura Comercial'!E29</f>
        <v>0</v>
      </c>
      <c r="B27" s="277" t="str">
        <f>'🧾 Factura Comercial'!F29</f>
        <v>Unid.</v>
      </c>
      <c r="C27" s="278">
        <f>'🧾 Factura Comercial'!G29</f>
        <v>0</v>
      </c>
      <c r="D27" s="279">
        <f>'🧾 Factura Comercial'!H29</f>
        <v>0</v>
      </c>
      <c r="E27" s="279">
        <f>'🧾 Factura Comercial'!I29</f>
        <v>0</v>
      </c>
      <c r="F27" s="280">
        <f>IF('🧾 Tributos Aduana'!$F$6=0,0,'🧾 Factura Comercial'!I29/'🧾 Tributos Aduana'!$F$6)</f>
        <v>0</v>
      </c>
      <c r="G27" s="281">
        <f>'🧾 Factura Comercial'!H29*'📋 Datos Generales'!$E$19</f>
        <v>0</v>
      </c>
      <c r="H27" s="281">
        <f>TABLA_BASE[[#This Row],[FOB UNIT.
(S/.)]]*TABLA_BASE[[#This Row],[CANTIDAD
(unid.)]]</f>
        <v>0</v>
      </c>
      <c r="I27" s="283">
        <f>IF('🧾 Tributos Aduana'!$F$6=0,0,'🧾 Tributos Aduana'!$F$17*('🧾 Factura Comercial'!H29/'🧾 Tributos Aduana'!$F$6))</f>
        <v>0</v>
      </c>
      <c r="J27" s="283">
        <f>TABLA_BASE[[#This Row],[ADV UNIT.
(US$)
⚠️COSTO]]*TABLA_BASE[[#This Row],[CANTIDAD
(unid.)]]</f>
        <v>0</v>
      </c>
      <c r="K27" s="282">
        <f>IF('🧾 Tributos Aduana'!$F$6=0,0,'🧾 Tributos Aduana'!$F$18*('🧾 Factura Comercial'!H29/'🧾 Tributos Aduana'!$F$6))</f>
        <v>0</v>
      </c>
      <c r="L27" s="283">
        <f>TABLA_BASE[[#This Row],[IPM UNIT.
(US$)
✅CF]]*TABLA_BASE[[#This Row],[CANTIDAD
(unid.)]]</f>
        <v>0</v>
      </c>
      <c r="M27" s="282">
        <f>IF('🧾 Tributos Aduana'!$F$6=0,0,'🧾 Tributos Aduana'!$F$19*('🧾 Factura Comercial'!H29/'🧾 Tributos Aduana'!$F$6))</f>
        <v>0</v>
      </c>
      <c r="N27" s="283">
        <f>TABLA_BASE[[#This Row],[IGV UNIT.
(US$)
✅CF]]*TABLA_BASE[[#This Row],[CANTIDAD
(unid.)]]</f>
        <v>0</v>
      </c>
      <c r="O27" s="283">
        <f>IF('🧾 Tributos Aduana'!$F$6=0,0,'🧾 Tributos Aduana'!$F$23*('🧾 Factura Comercial'!H29/'🧾 Tributos Aduana'!$F$6))</f>
        <v>0</v>
      </c>
      <c r="P27" s="283">
        <f>TABLA_BASE[[#This Row],[PERCEP.
UNIT.(US$)
✅CF]]*TABLA_BASE[[#This Row],[CANTIDAD
(unid.)]]</f>
        <v>0</v>
      </c>
      <c r="Q27" s="282">
        <f>TABLA_BASE[[#This Row],[ADV UNIT.
(US$)
⚠️COSTO]]+TABLA_BASE[[#This Row],[IPM UNIT.
(US$)
✅CF]]+TABLA_BASE[[#This Row],[IGV UNIT.
(US$)
✅CF]]</f>
        <v>0</v>
      </c>
      <c r="R27" s="283">
        <f>TABLA_BASE[[#This Row],[DEUDA
ADUANERA
UNIT.]]*TABLA_BASE[[#This Row],[CANTIDAD
(unid.)]]</f>
        <v>0</v>
      </c>
      <c r="S27" s="284">
        <f>TABLA_BASE[[#This Row],[ADV UNIT.
(US$)
⚠️COSTO]]*'📋 Datos Generales'!$E$19</f>
        <v>0</v>
      </c>
      <c r="T27" s="284">
        <f>TABLA_BASE[[#This Row],[ADV UNIT.
(S/.)]]*TABLA_BASE[[#This Row],[CANTIDAD
(unid.)]]</f>
        <v>0</v>
      </c>
      <c r="U27" s="284">
        <f>TABLA_BASE[[#This Row],[IPM UNIT.
(US$)
✅CF]]*'📋 Datos Generales'!$E$19</f>
        <v>0</v>
      </c>
      <c r="V27" s="284">
        <f>TABLA_BASE[[#This Row],[IPM UNIT.
(S/.)]]*TABLA_BASE[[#This Row],[CANTIDAD
(unid.)]]</f>
        <v>0</v>
      </c>
      <c r="W27" s="284">
        <f>TABLA_BASE[[#This Row],[IGV UNIT.
(US$)
✅CF]]*'📋 Datos Generales'!$E$19</f>
        <v>0</v>
      </c>
      <c r="X27" s="284">
        <f>TABLA_BASE[[#This Row],[IGV UNIT.
(S/.)]]*TABLA_BASE[[#This Row],[CANTIDAD
(unid.)]]</f>
        <v>0</v>
      </c>
      <c r="Y27" s="284">
        <f>TABLA_BASE[[#This Row],[PERCEP.
UNIT.(US$)
✅CF]]*'📋 Datos Generales'!$E$19</f>
        <v>0</v>
      </c>
      <c r="Z27" s="284">
        <f>TABLA_BASE[[#This Row],[PERCEP.
UNIT.(S/.)]]*TABLA_BASE[[#This Row],[CANTIDAD
(unid.)]]</f>
        <v>0</v>
      </c>
      <c r="AA27" s="282">
        <f>TABLA_BASE[[#This Row],[ADV UNIT.
(US$)
⚠️COSTO]]+TABLA_BASE[[#This Row],[IPM UNIT.
(US$)
✅CF]]+TABLA_BASE[[#This Row],[IGV UNIT.
(US$)
✅CF]]+TABLA_BASE[[#This Row],[PERCEP.
UNIT.(US$)
✅CF]]</f>
        <v>0</v>
      </c>
      <c r="AB27" s="282">
        <f>TABLA_BASE[[#This Row],[TOTAL PAGO
SUNAT
UNIT.(US$)]]*TABLA_BASE[[#This Row],[CANTIDAD
(unid.)]]</f>
        <v>0</v>
      </c>
      <c r="AC27" s="284">
        <f>TABLA_BASE[[#This Row],[TOTAL PAGO
SUNAT
UNIT.(US$)]]*'📋 Datos Generales'!$E$19</f>
        <v>0</v>
      </c>
      <c r="AD27" s="284">
        <f>TABLA_BASE[[#This Row],[TOTAL TRIB.
UNIT.(S/.)]]*TABLA_BASE[[#This Row],[CANTIDAD
(unid.)]]</f>
        <v>0</v>
      </c>
      <c r="AE27" s="282">
        <f>IF('🧾 Factura Comercial'!G29=0,0,'📦 Gastos Importación'!$E$28*(IF('🧾 Tributos Aduana'!$F$6=0,0,'🧾 Factura Comercial'!I29/'🧾 Tributos Aduana'!$F$6))/'🧾 Factura Comercial'!G29)</f>
        <v>0</v>
      </c>
      <c r="AF27" s="282">
        <f>TABLA_BASE[[#This Row],[GASTOS IMP.
UNIT.(US$)]]*TABLA_BASE[[#This Row],[CANTIDAD
(unid.)]]</f>
        <v>0</v>
      </c>
      <c r="AG27" s="284">
        <f>TABLA_BASE[[#This Row],[GASTOS IMP.
UNIT.(US$)]]*'📋 Datos Generales'!$E$19</f>
        <v>0</v>
      </c>
      <c r="AH27" s="284">
        <f>TABLA_BASE[[#This Row],[GASTOS IMP.
UNIT.(S/.)]]*TABLA_BASE[[#This Row],[CANTIDAD
(unid.)]]</f>
        <v>0</v>
      </c>
      <c r="AI27" s="283">
        <f>'🧮 Costos x Producto'!J31</f>
        <v>0</v>
      </c>
      <c r="AJ27" s="282">
        <f>'🧮 Costos x Producto'!K31</f>
        <v>0</v>
      </c>
      <c r="AK27" s="282">
        <f>IF('🧾 Factura Comercial'!G29=0,0,'🧾 Tributos Aduana'!$F$17*(IF('🧾 Tributos Aduana'!$F$6=0,0,'🧾 Factura Comercial'!I29/'🧾 Tributos Aduana'!$F$6))/'🧾 Factura Comercial'!G29)</f>
        <v>0</v>
      </c>
      <c r="AL27" s="282">
        <f>IF('🧾 Factura Comercial'!G29=0,0,'🏦 Crédito Fiscal'!$C$16*(IF('🧾 Tributos Aduana'!$F$6=0,0,'🧾 Factura Comercial'!I29/'🧾 Tributos Aduana'!$F$6))/'🧾 Factura Comercial'!G29)</f>
        <v>0</v>
      </c>
      <c r="AM27" s="284">
        <f>TABLA_BASE[[#This Row],[CF UNIT.
✅RECUP.
(US$)]]*'📋 Datos Generales'!$E$19</f>
        <v>0</v>
      </c>
      <c r="AN27" s="281">
        <f>TABLA_BASE[[#This Row],[CF UNIT.
✅RECUP.(S/.)]]*TABLA_BASE[[#This Row],[CANTIDAD
(unid.)]]</f>
        <v>0</v>
      </c>
      <c r="AO27" s="298">
        <f>'💰 Precio de Venta'!G32</f>
        <v>0.4</v>
      </c>
      <c r="AP27" s="284">
        <f>'💰 Precio de Venta'!H32</f>
        <v>0</v>
      </c>
      <c r="AQ27" s="284">
        <f>'💰 Precio de Venta'!I32</f>
        <v>0</v>
      </c>
      <c r="AR27" s="281">
        <f>'💰 Precio de Venta'!J32</f>
        <v>0</v>
      </c>
      <c r="AS27" s="300">
        <f>'💰 Precio de Venta'!K32</f>
        <v>0</v>
      </c>
      <c r="AT27" s="281">
        <f>TABLA_BASE[[#This Row],[GANANCIA
UNIT.(S/.)]]*'🧾 Factura Comercial'!G29</f>
        <v>0</v>
      </c>
      <c r="AU27" s="280">
        <f>IF(TABLA_BASE[[#This Row],[PRECIO VTA.
c/IGV(S/.)]]=0,0,TABLA_BASE[[#This Row],[GANANCIA
UNIT.(S/.)]]/TABLA_BASE[[#This Row],[PRECIO VTA.
c/IGV(S/.)]])</f>
        <v>0</v>
      </c>
      <c r="AV27" s="280">
        <f>IF(TABLA_BASE[[#This Row],[C/M UNIT.
(S/.)]]=0,0,TABLA_BASE[[#This Row],[GANANCIA
UNIT.(S/.)]]/TABLA_BASE[[#This Row],[C/M UNIT.
(S/.)]])</f>
        <v>0</v>
      </c>
      <c r="AW27" s="277" t="str">
        <f>IF(TABLA_BASE[[#This Row],[MARGEN
%]]&gt;=0.5,"🟢 ALTO",IF(TABLA_BASE[[#This Row],[MARGEN
%]]&gt;=0.3,"🟡 MEDIO","🔴 BAJO"))</f>
        <v>🟡 MEDIO</v>
      </c>
    </row>
    <row r="28" spans="1:49" ht="16.5" hidden="1" thickTop="1" thickBot="1" x14ac:dyDescent="0.3">
      <c r="A28" s="277">
        <f>'🧾 Factura Comercial'!E30</f>
        <v>0</v>
      </c>
      <c r="B28" s="277" t="str">
        <f>'🧾 Factura Comercial'!F30</f>
        <v>Unid.</v>
      </c>
      <c r="C28" s="278">
        <f>'🧾 Factura Comercial'!G30</f>
        <v>0</v>
      </c>
      <c r="D28" s="279">
        <f>'🧾 Factura Comercial'!H30</f>
        <v>0</v>
      </c>
      <c r="E28" s="279">
        <f>'🧾 Factura Comercial'!I30</f>
        <v>0</v>
      </c>
      <c r="F28" s="280">
        <f>IF('🧾 Tributos Aduana'!$F$6=0,0,'🧾 Factura Comercial'!I30/'🧾 Tributos Aduana'!$F$6)</f>
        <v>0</v>
      </c>
      <c r="G28" s="281">
        <f>'🧾 Factura Comercial'!H30*'📋 Datos Generales'!$E$19</f>
        <v>0</v>
      </c>
      <c r="H28" s="281">
        <f>TABLA_BASE[[#This Row],[FOB UNIT.
(S/.)]]*TABLA_BASE[[#This Row],[CANTIDAD
(unid.)]]</f>
        <v>0</v>
      </c>
      <c r="I28" s="283">
        <f>IF('🧾 Tributos Aduana'!$F$6=0,0,'🧾 Tributos Aduana'!$F$17*('🧾 Factura Comercial'!H30/'🧾 Tributos Aduana'!$F$6))</f>
        <v>0</v>
      </c>
      <c r="J28" s="283">
        <f>TABLA_BASE[[#This Row],[ADV UNIT.
(US$)
⚠️COSTO]]*TABLA_BASE[[#This Row],[CANTIDAD
(unid.)]]</f>
        <v>0</v>
      </c>
      <c r="K28" s="282">
        <f>IF('🧾 Tributos Aduana'!$F$6=0,0,'🧾 Tributos Aduana'!$F$18*('🧾 Factura Comercial'!H30/'🧾 Tributos Aduana'!$F$6))</f>
        <v>0</v>
      </c>
      <c r="L28" s="283">
        <f>TABLA_BASE[[#This Row],[IPM UNIT.
(US$)
✅CF]]*TABLA_BASE[[#This Row],[CANTIDAD
(unid.)]]</f>
        <v>0</v>
      </c>
      <c r="M28" s="282">
        <f>IF('🧾 Tributos Aduana'!$F$6=0,0,'🧾 Tributos Aduana'!$F$19*('🧾 Factura Comercial'!H30/'🧾 Tributos Aduana'!$F$6))</f>
        <v>0</v>
      </c>
      <c r="N28" s="283">
        <f>TABLA_BASE[[#This Row],[IGV UNIT.
(US$)
✅CF]]*TABLA_BASE[[#This Row],[CANTIDAD
(unid.)]]</f>
        <v>0</v>
      </c>
      <c r="O28" s="283">
        <f>IF('🧾 Tributos Aduana'!$F$6=0,0,'🧾 Tributos Aduana'!$F$23*('🧾 Factura Comercial'!H30/'🧾 Tributos Aduana'!$F$6))</f>
        <v>0</v>
      </c>
      <c r="P28" s="283">
        <f>TABLA_BASE[[#This Row],[PERCEP.
UNIT.(US$)
✅CF]]*TABLA_BASE[[#This Row],[CANTIDAD
(unid.)]]</f>
        <v>0</v>
      </c>
      <c r="Q28" s="282">
        <f>TABLA_BASE[[#This Row],[ADV UNIT.
(US$)
⚠️COSTO]]+TABLA_BASE[[#This Row],[IPM UNIT.
(US$)
✅CF]]+TABLA_BASE[[#This Row],[IGV UNIT.
(US$)
✅CF]]</f>
        <v>0</v>
      </c>
      <c r="R28" s="283">
        <f>TABLA_BASE[[#This Row],[DEUDA
ADUANERA
UNIT.]]*TABLA_BASE[[#This Row],[CANTIDAD
(unid.)]]</f>
        <v>0</v>
      </c>
      <c r="S28" s="284">
        <f>TABLA_BASE[[#This Row],[ADV UNIT.
(US$)
⚠️COSTO]]*'📋 Datos Generales'!$E$19</f>
        <v>0</v>
      </c>
      <c r="T28" s="284">
        <f>TABLA_BASE[[#This Row],[ADV UNIT.
(S/.)]]*TABLA_BASE[[#This Row],[CANTIDAD
(unid.)]]</f>
        <v>0</v>
      </c>
      <c r="U28" s="284">
        <f>TABLA_BASE[[#This Row],[IPM UNIT.
(US$)
✅CF]]*'📋 Datos Generales'!$E$19</f>
        <v>0</v>
      </c>
      <c r="V28" s="284">
        <f>TABLA_BASE[[#This Row],[IPM UNIT.
(S/.)]]*TABLA_BASE[[#This Row],[CANTIDAD
(unid.)]]</f>
        <v>0</v>
      </c>
      <c r="W28" s="284">
        <f>TABLA_BASE[[#This Row],[IGV UNIT.
(US$)
✅CF]]*'📋 Datos Generales'!$E$19</f>
        <v>0</v>
      </c>
      <c r="X28" s="284">
        <f>TABLA_BASE[[#This Row],[IGV UNIT.
(S/.)]]*TABLA_BASE[[#This Row],[CANTIDAD
(unid.)]]</f>
        <v>0</v>
      </c>
      <c r="Y28" s="284">
        <f>TABLA_BASE[[#This Row],[PERCEP.
UNIT.(US$)
✅CF]]*'📋 Datos Generales'!$E$19</f>
        <v>0</v>
      </c>
      <c r="Z28" s="284">
        <f>TABLA_BASE[[#This Row],[PERCEP.
UNIT.(S/.)]]*TABLA_BASE[[#This Row],[CANTIDAD
(unid.)]]</f>
        <v>0</v>
      </c>
      <c r="AA28" s="282">
        <f>TABLA_BASE[[#This Row],[ADV UNIT.
(US$)
⚠️COSTO]]+TABLA_BASE[[#This Row],[IPM UNIT.
(US$)
✅CF]]+TABLA_BASE[[#This Row],[IGV UNIT.
(US$)
✅CF]]+TABLA_BASE[[#This Row],[PERCEP.
UNIT.(US$)
✅CF]]</f>
        <v>0</v>
      </c>
      <c r="AB28" s="282">
        <f>TABLA_BASE[[#This Row],[TOTAL PAGO
SUNAT
UNIT.(US$)]]*TABLA_BASE[[#This Row],[CANTIDAD
(unid.)]]</f>
        <v>0</v>
      </c>
      <c r="AC28" s="284">
        <f>TABLA_BASE[[#This Row],[TOTAL PAGO
SUNAT
UNIT.(US$)]]*'📋 Datos Generales'!$E$19</f>
        <v>0</v>
      </c>
      <c r="AD28" s="284">
        <f>TABLA_BASE[[#This Row],[TOTAL TRIB.
UNIT.(S/.)]]*TABLA_BASE[[#This Row],[CANTIDAD
(unid.)]]</f>
        <v>0</v>
      </c>
      <c r="AE28" s="282">
        <f>IF('🧾 Factura Comercial'!G30=0,0,'📦 Gastos Importación'!$E$28*(IF('🧾 Tributos Aduana'!$F$6=0,0,'🧾 Factura Comercial'!I30/'🧾 Tributos Aduana'!$F$6))/'🧾 Factura Comercial'!G30)</f>
        <v>0</v>
      </c>
      <c r="AF28" s="282">
        <f>TABLA_BASE[[#This Row],[GASTOS IMP.
UNIT.(US$)]]*TABLA_BASE[[#This Row],[CANTIDAD
(unid.)]]</f>
        <v>0</v>
      </c>
      <c r="AG28" s="284">
        <f>TABLA_BASE[[#This Row],[GASTOS IMP.
UNIT.(US$)]]*'📋 Datos Generales'!$E$19</f>
        <v>0</v>
      </c>
      <c r="AH28" s="284">
        <f>TABLA_BASE[[#This Row],[GASTOS IMP.
UNIT.(S/.)]]*TABLA_BASE[[#This Row],[CANTIDAD
(unid.)]]</f>
        <v>0</v>
      </c>
      <c r="AI28" s="283">
        <f>'🧮 Costos x Producto'!J32</f>
        <v>0</v>
      </c>
      <c r="AJ28" s="282">
        <f>'🧮 Costos x Producto'!K32</f>
        <v>0</v>
      </c>
      <c r="AK28" s="282">
        <f>IF('🧾 Factura Comercial'!G30=0,0,'🧾 Tributos Aduana'!$F$17*(IF('🧾 Tributos Aduana'!$F$6=0,0,'🧾 Factura Comercial'!I30/'🧾 Tributos Aduana'!$F$6))/'🧾 Factura Comercial'!G30)</f>
        <v>0</v>
      </c>
      <c r="AL28" s="282">
        <f>IF('🧾 Factura Comercial'!G30=0,0,'🏦 Crédito Fiscal'!$C$16*(IF('🧾 Tributos Aduana'!$F$6=0,0,'🧾 Factura Comercial'!I30/'🧾 Tributos Aduana'!$F$6))/'🧾 Factura Comercial'!G30)</f>
        <v>0</v>
      </c>
      <c r="AM28" s="284">
        <f>TABLA_BASE[[#This Row],[CF UNIT.
✅RECUP.
(US$)]]*'📋 Datos Generales'!$E$19</f>
        <v>0</v>
      </c>
      <c r="AN28" s="281">
        <f>TABLA_BASE[[#This Row],[CF UNIT.
✅RECUP.(S/.)]]*TABLA_BASE[[#This Row],[CANTIDAD
(unid.)]]</f>
        <v>0</v>
      </c>
      <c r="AO28" s="298">
        <f>'💰 Precio de Venta'!G33</f>
        <v>0.4</v>
      </c>
      <c r="AP28" s="284">
        <f>'💰 Precio de Venta'!H33</f>
        <v>0</v>
      </c>
      <c r="AQ28" s="284">
        <f>'💰 Precio de Venta'!I33</f>
        <v>0</v>
      </c>
      <c r="AR28" s="281">
        <f>'💰 Precio de Venta'!J33</f>
        <v>0</v>
      </c>
      <c r="AS28" s="300">
        <f>'💰 Precio de Venta'!K33</f>
        <v>0</v>
      </c>
      <c r="AT28" s="281">
        <f>TABLA_BASE[[#This Row],[GANANCIA
UNIT.(S/.)]]*'🧾 Factura Comercial'!G30</f>
        <v>0</v>
      </c>
      <c r="AU28" s="280">
        <f>IF(TABLA_BASE[[#This Row],[PRECIO VTA.
c/IGV(S/.)]]=0,0,TABLA_BASE[[#This Row],[GANANCIA
UNIT.(S/.)]]/TABLA_BASE[[#This Row],[PRECIO VTA.
c/IGV(S/.)]])</f>
        <v>0</v>
      </c>
      <c r="AV28" s="280">
        <f>IF(TABLA_BASE[[#This Row],[C/M UNIT.
(S/.)]]=0,0,TABLA_BASE[[#This Row],[GANANCIA
UNIT.(S/.)]]/TABLA_BASE[[#This Row],[C/M UNIT.
(S/.)]])</f>
        <v>0</v>
      </c>
      <c r="AW28" s="277" t="str">
        <f>IF(TABLA_BASE[[#This Row],[MARGEN
%]]&gt;=0.5,"🟢 ALTO",IF(TABLA_BASE[[#This Row],[MARGEN
%]]&gt;=0.3,"🟡 MEDIO","🔴 BAJO"))</f>
        <v>🟡 MEDIO</v>
      </c>
    </row>
    <row r="29" spans="1:49" ht="16.5" hidden="1" thickTop="1" thickBot="1" x14ac:dyDescent="0.3">
      <c r="A29" s="277">
        <f>'🧾 Factura Comercial'!E31</f>
        <v>0</v>
      </c>
      <c r="B29" s="277" t="str">
        <f>'🧾 Factura Comercial'!F31</f>
        <v>Unid.</v>
      </c>
      <c r="C29" s="278">
        <f>'🧾 Factura Comercial'!G31</f>
        <v>0</v>
      </c>
      <c r="D29" s="279">
        <f>'🧾 Factura Comercial'!H31</f>
        <v>0</v>
      </c>
      <c r="E29" s="279">
        <f>'🧾 Factura Comercial'!I31</f>
        <v>0</v>
      </c>
      <c r="F29" s="280">
        <f>IF('🧾 Tributos Aduana'!$F$6=0,0,'🧾 Factura Comercial'!I31/'🧾 Tributos Aduana'!$F$6)</f>
        <v>0</v>
      </c>
      <c r="G29" s="281">
        <f>'🧾 Factura Comercial'!H31*'📋 Datos Generales'!$E$19</f>
        <v>0</v>
      </c>
      <c r="H29" s="281">
        <f>TABLA_BASE[[#This Row],[FOB UNIT.
(S/.)]]*TABLA_BASE[[#This Row],[CANTIDAD
(unid.)]]</f>
        <v>0</v>
      </c>
      <c r="I29" s="283">
        <f>IF('🧾 Tributos Aduana'!$F$6=0,0,'🧾 Tributos Aduana'!$F$17*('🧾 Factura Comercial'!H31/'🧾 Tributos Aduana'!$F$6))</f>
        <v>0</v>
      </c>
      <c r="J29" s="283">
        <f>TABLA_BASE[[#This Row],[ADV UNIT.
(US$)
⚠️COSTO]]*TABLA_BASE[[#This Row],[CANTIDAD
(unid.)]]</f>
        <v>0</v>
      </c>
      <c r="K29" s="282">
        <f>IF('🧾 Tributos Aduana'!$F$6=0,0,'🧾 Tributos Aduana'!$F$18*('🧾 Factura Comercial'!H31/'🧾 Tributos Aduana'!$F$6))</f>
        <v>0</v>
      </c>
      <c r="L29" s="283">
        <f>TABLA_BASE[[#This Row],[IPM UNIT.
(US$)
✅CF]]*TABLA_BASE[[#This Row],[CANTIDAD
(unid.)]]</f>
        <v>0</v>
      </c>
      <c r="M29" s="282">
        <f>IF('🧾 Tributos Aduana'!$F$6=0,0,'🧾 Tributos Aduana'!$F$19*('🧾 Factura Comercial'!H31/'🧾 Tributos Aduana'!$F$6))</f>
        <v>0</v>
      </c>
      <c r="N29" s="283">
        <f>TABLA_BASE[[#This Row],[IGV UNIT.
(US$)
✅CF]]*TABLA_BASE[[#This Row],[CANTIDAD
(unid.)]]</f>
        <v>0</v>
      </c>
      <c r="O29" s="283">
        <f>IF('🧾 Tributos Aduana'!$F$6=0,0,'🧾 Tributos Aduana'!$F$23*('🧾 Factura Comercial'!H31/'🧾 Tributos Aduana'!$F$6))</f>
        <v>0</v>
      </c>
      <c r="P29" s="283">
        <f>TABLA_BASE[[#This Row],[PERCEP.
UNIT.(US$)
✅CF]]*TABLA_BASE[[#This Row],[CANTIDAD
(unid.)]]</f>
        <v>0</v>
      </c>
      <c r="Q29" s="282">
        <f>TABLA_BASE[[#This Row],[ADV UNIT.
(US$)
⚠️COSTO]]+TABLA_BASE[[#This Row],[IPM UNIT.
(US$)
✅CF]]+TABLA_BASE[[#This Row],[IGV UNIT.
(US$)
✅CF]]</f>
        <v>0</v>
      </c>
      <c r="R29" s="283">
        <f>TABLA_BASE[[#This Row],[DEUDA
ADUANERA
UNIT.]]*TABLA_BASE[[#This Row],[CANTIDAD
(unid.)]]</f>
        <v>0</v>
      </c>
      <c r="S29" s="284">
        <f>TABLA_BASE[[#This Row],[ADV UNIT.
(US$)
⚠️COSTO]]*'📋 Datos Generales'!$E$19</f>
        <v>0</v>
      </c>
      <c r="T29" s="284">
        <f>TABLA_BASE[[#This Row],[ADV UNIT.
(S/.)]]*TABLA_BASE[[#This Row],[CANTIDAD
(unid.)]]</f>
        <v>0</v>
      </c>
      <c r="U29" s="284">
        <f>TABLA_BASE[[#This Row],[IPM UNIT.
(US$)
✅CF]]*'📋 Datos Generales'!$E$19</f>
        <v>0</v>
      </c>
      <c r="V29" s="284">
        <f>TABLA_BASE[[#This Row],[IPM UNIT.
(S/.)]]*TABLA_BASE[[#This Row],[CANTIDAD
(unid.)]]</f>
        <v>0</v>
      </c>
      <c r="W29" s="284">
        <f>TABLA_BASE[[#This Row],[IGV UNIT.
(US$)
✅CF]]*'📋 Datos Generales'!$E$19</f>
        <v>0</v>
      </c>
      <c r="X29" s="284">
        <f>TABLA_BASE[[#This Row],[IGV UNIT.
(S/.)]]*TABLA_BASE[[#This Row],[CANTIDAD
(unid.)]]</f>
        <v>0</v>
      </c>
      <c r="Y29" s="284">
        <f>TABLA_BASE[[#This Row],[PERCEP.
UNIT.(US$)
✅CF]]*'📋 Datos Generales'!$E$19</f>
        <v>0</v>
      </c>
      <c r="Z29" s="284">
        <f>TABLA_BASE[[#This Row],[PERCEP.
UNIT.(S/.)]]*TABLA_BASE[[#This Row],[CANTIDAD
(unid.)]]</f>
        <v>0</v>
      </c>
      <c r="AA29" s="282">
        <f>TABLA_BASE[[#This Row],[ADV UNIT.
(US$)
⚠️COSTO]]+TABLA_BASE[[#This Row],[IPM UNIT.
(US$)
✅CF]]+TABLA_BASE[[#This Row],[IGV UNIT.
(US$)
✅CF]]+TABLA_BASE[[#This Row],[PERCEP.
UNIT.(US$)
✅CF]]</f>
        <v>0</v>
      </c>
      <c r="AB29" s="282">
        <f>TABLA_BASE[[#This Row],[TOTAL PAGO
SUNAT
UNIT.(US$)]]*TABLA_BASE[[#This Row],[CANTIDAD
(unid.)]]</f>
        <v>0</v>
      </c>
      <c r="AC29" s="284">
        <f>TABLA_BASE[[#This Row],[TOTAL PAGO
SUNAT
UNIT.(US$)]]*'📋 Datos Generales'!$E$19</f>
        <v>0</v>
      </c>
      <c r="AD29" s="284">
        <f>TABLA_BASE[[#This Row],[TOTAL TRIB.
UNIT.(S/.)]]*TABLA_BASE[[#This Row],[CANTIDAD
(unid.)]]</f>
        <v>0</v>
      </c>
      <c r="AE29" s="282">
        <f>IF('🧾 Factura Comercial'!G31=0,0,'📦 Gastos Importación'!$E$28*(IF('🧾 Tributos Aduana'!$F$6=0,0,'🧾 Factura Comercial'!I31/'🧾 Tributos Aduana'!$F$6))/'🧾 Factura Comercial'!G31)</f>
        <v>0</v>
      </c>
      <c r="AF29" s="282">
        <f>TABLA_BASE[[#This Row],[GASTOS IMP.
UNIT.(US$)]]*TABLA_BASE[[#This Row],[CANTIDAD
(unid.)]]</f>
        <v>0</v>
      </c>
      <c r="AG29" s="284">
        <f>TABLA_BASE[[#This Row],[GASTOS IMP.
UNIT.(US$)]]*'📋 Datos Generales'!$E$19</f>
        <v>0</v>
      </c>
      <c r="AH29" s="284">
        <f>TABLA_BASE[[#This Row],[GASTOS IMP.
UNIT.(S/.)]]*TABLA_BASE[[#This Row],[CANTIDAD
(unid.)]]</f>
        <v>0</v>
      </c>
      <c r="AI29" s="283">
        <f>'🧮 Costos x Producto'!J33</f>
        <v>0</v>
      </c>
      <c r="AJ29" s="282">
        <f>'🧮 Costos x Producto'!K33</f>
        <v>0</v>
      </c>
      <c r="AK29" s="282">
        <f>IF('🧾 Factura Comercial'!G31=0,0,'🧾 Tributos Aduana'!$F$17*(IF('🧾 Tributos Aduana'!$F$6=0,0,'🧾 Factura Comercial'!I31/'🧾 Tributos Aduana'!$F$6))/'🧾 Factura Comercial'!G31)</f>
        <v>0</v>
      </c>
      <c r="AL29" s="282">
        <f>IF('🧾 Factura Comercial'!G31=0,0,'🏦 Crédito Fiscal'!$C$16*(IF('🧾 Tributos Aduana'!$F$6=0,0,'🧾 Factura Comercial'!I31/'🧾 Tributos Aduana'!$F$6))/'🧾 Factura Comercial'!G31)</f>
        <v>0</v>
      </c>
      <c r="AM29" s="284">
        <f>TABLA_BASE[[#This Row],[CF UNIT.
✅RECUP.
(US$)]]*'📋 Datos Generales'!$E$19</f>
        <v>0</v>
      </c>
      <c r="AN29" s="281">
        <f>TABLA_BASE[[#This Row],[CF UNIT.
✅RECUP.(S/.)]]*TABLA_BASE[[#This Row],[CANTIDAD
(unid.)]]</f>
        <v>0</v>
      </c>
      <c r="AO29" s="298">
        <f>'💰 Precio de Venta'!G34</f>
        <v>0.4</v>
      </c>
      <c r="AP29" s="284">
        <f>'💰 Precio de Venta'!H34</f>
        <v>0</v>
      </c>
      <c r="AQ29" s="284">
        <f>'💰 Precio de Venta'!I34</f>
        <v>0</v>
      </c>
      <c r="AR29" s="281">
        <f>'💰 Precio de Venta'!J34</f>
        <v>0</v>
      </c>
      <c r="AS29" s="300">
        <f>'💰 Precio de Venta'!K34</f>
        <v>0</v>
      </c>
      <c r="AT29" s="281">
        <f>TABLA_BASE[[#This Row],[GANANCIA
UNIT.(S/.)]]*'🧾 Factura Comercial'!G31</f>
        <v>0</v>
      </c>
      <c r="AU29" s="280">
        <f>IF(TABLA_BASE[[#This Row],[PRECIO VTA.
c/IGV(S/.)]]=0,0,TABLA_BASE[[#This Row],[GANANCIA
UNIT.(S/.)]]/TABLA_BASE[[#This Row],[PRECIO VTA.
c/IGV(S/.)]])</f>
        <v>0</v>
      </c>
      <c r="AV29" s="280">
        <f>IF(TABLA_BASE[[#This Row],[C/M UNIT.
(S/.)]]=0,0,TABLA_BASE[[#This Row],[GANANCIA
UNIT.(S/.)]]/TABLA_BASE[[#This Row],[C/M UNIT.
(S/.)]])</f>
        <v>0</v>
      </c>
      <c r="AW29" s="277" t="str">
        <f>IF(TABLA_BASE[[#This Row],[MARGEN
%]]&gt;=0.5,"🟢 ALTO",IF(TABLA_BASE[[#This Row],[MARGEN
%]]&gt;=0.3,"🟡 MEDIO","🔴 BAJO"))</f>
        <v>🟡 MEDIO</v>
      </c>
    </row>
    <row r="30" spans="1:49" ht="16.5" hidden="1" thickTop="1" thickBot="1" x14ac:dyDescent="0.3">
      <c r="A30" s="277">
        <f>'🧾 Factura Comercial'!E32</f>
        <v>0</v>
      </c>
      <c r="B30" s="277" t="str">
        <f>'🧾 Factura Comercial'!F32</f>
        <v>Unid.</v>
      </c>
      <c r="C30" s="278">
        <f>'🧾 Factura Comercial'!G32</f>
        <v>0</v>
      </c>
      <c r="D30" s="279">
        <f>'🧾 Factura Comercial'!H32</f>
        <v>0</v>
      </c>
      <c r="E30" s="279">
        <f>'🧾 Factura Comercial'!I32</f>
        <v>0</v>
      </c>
      <c r="F30" s="280">
        <f>IF('🧾 Tributos Aduana'!$F$6=0,0,'🧾 Factura Comercial'!I32/'🧾 Tributos Aduana'!$F$6)</f>
        <v>0</v>
      </c>
      <c r="G30" s="281">
        <f>'🧾 Factura Comercial'!H32*'📋 Datos Generales'!$E$19</f>
        <v>0</v>
      </c>
      <c r="H30" s="281">
        <f>TABLA_BASE[[#This Row],[FOB UNIT.
(S/.)]]*TABLA_BASE[[#This Row],[CANTIDAD
(unid.)]]</f>
        <v>0</v>
      </c>
      <c r="I30" s="283">
        <f>IF('🧾 Tributos Aduana'!$F$6=0,0,'🧾 Tributos Aduana'!$F$17*('🧾 Factura Comercial'!H32/'🧾 Tributos Aduana'!$F$6))</f>
        <v>0</v>
      </c>
      <c r="J30" s="283">
        <f>TABLA_BASE[[#This Row],[ADV UNIT.
(US$)
⚠️COSTO]]*TABLA_BASE[[#This Row],[CANTIDAD
(unid.)]]</f>
        <v>0</v>
      </c>
      <c r="K30" s="282">
        <f>IF('🧾 Tributos Aduana'!$F$6=0,0,'🧾 Tributos Aduana'!$F$18*('🧾 Factura Comercial'!H32/'🧾 Tributos Aduana'!$F$6))</f>
        <v>0</v>
      </c>
      <c r="L30" s="283">
        <f>TABLA_BASE[[#This Row],[IPM UNIT.
(US$)
✅CF]]*TABLA_BASE[[#This Row],[CANTIDAD
(unid.)]]</f>
        <v>0</v>
      </c>
      <c r="M30" s="282">
        <f>IF('🧾 Tributos Aduana'!$F$6=0,0,'🧾 Tributos Aduana'!$F$19*('🧾 Factura Comercial'!H32/'🧾 Tributos Aduana'!$F$6))</f>
        <v>0</v>
      </c>
      <c r="N30" s="283">
        <f>TABLA_BASE[[#This Row],[IGV UNIT.
(US$)
✅CF]]*TABLA_BASE[[#This Row],[CANTIDAD
(unid.)]]</f>
        <v>0</v>
      </c>
      <c r="O30" s="283">
        <f>IF('🧾 Tributos Aduana'!$F$6=0,0,'🧾 Tributos Aduana'!$F$23*('🧾 Factura Comercial'!H32/'🧾 Tributos Aduana'!$F$6))</f>
        <v>0</v>
      </c>
      <c r="P30" s="283">
        <f>TABLA_BASE[[#This Row],[PERCEP.
UNIT.(US$)
✅CF]]*TABLA_BASE[[#This Row],[CANTIDAD
(unid.)]]</f>
        <v>0</v>
      </c>
      <c r="Q30" s="282">
        <f>TABLA_BASE[[#This Row],[ADV UNIT.
(US$)
⚠️COSTO]]+TABLA_BASE[[#This Row],[IPM UNIT.
(US$)
✅CF]]+TABLA_BASE[[#This Row],[IGV UNIT.
(US$)
✅CF]]</f>
        <v>0</v>
      </c>
      <c r="R30" s="283">
        <f>TABLA_BASE[[#This Row],[DEUDA
ADUANERA
UNIT.]]*TABLA_BASE[[#This Row],[CANTIDAD
(unid.)]]</f>
        <v>0</v>
      </c>
      <c r="S30" s="284">
        <f>TABLA_BASE[[#This Row],[ADV UNIT.
(US$)
⚠️COSTO]]*'📋 Datos Generales'!$E$19</f>
        <v>0</v>
      </c>
      <c r="T30" s="284">
        <f>TABLA_BASE[[#This Row],[ADV UNIT.
(S/.)]]*TABLA_BASE[[#This Row],[CANTIDAD
(unid.)]]</f>
        <v>0</v>
      </c>
      <c r="U30" s="284">
        <f>TABLA_BASE[[#This Row],[IPM UNIT.
(US$)
✅CF]]*'📋 Datos Generales'!$E$19</f>
        <v>0</v>
      </c>
      <c r="V30" s="284">
        <f>TABLA_BASE[[#This Row],[IPM UNIT.
(S/.)]]*TABLA_BASE[[#This Row],[CANTIDAD
(unid.)]]</f>
        <v>0</v>
      </c>
      <c r="W30" s="284">
        <f>TABLA_BASE[[#This Row],[IGV UNIT.
(US$)
✅CF]]*'📋 Datos Generales'!$E$19</f>
        <v>0</v>
      </c>
      <c r="X30" s="284">
        <f>TABLA_BASE[[#This Row],[IGV UNIT.
(S/.)]]*TABLA_BASE[[#This Row],[CANTIDAD
(unid.)]]</f>
        <v>0</v>
      </c>
      <c r="Y30" s="284">
        <f>TABLA_BASE[[#This Row],[PERCEP.
UNIT.(US$)
✅CF]]*'📋 Datos Generales'!$E$19</f>
        <v>0</v>
      </c>
      <c r="Z30" s="284">
        <f>TABLA_BASE[[#This Row],[PERCEP.
UNIT.(S/.)]]*TABLA_BASE[[#This Row],[CANTIDAD
(unid.)]]</f>
        <v>0</v>
      </c>
      <c r="AA30" s="282">
        <f>TABLA_BASE[[#This Row],[ADV UNIT.
(US$)
⚠️COSTO]]+TABLA_BASE[[#This Row],[IPM UNIT.
(US$)
✅CF]]+TABLA_BASE[[#This Row],[IGV UNIT.
(US$)
✅CF]]+TABLA_BASE[[#This Row],[PERCEP.
UNIT.(US$)
✅CF]]</f>
        <v>0</v>
      </c>
      <c r="AB30" s="282">
        <f>TABLA_BASE[[#This Row],[TOTAL PAGO
SUNAT
UNIT.(US$)]]*TABLA_BASE[[#This Row],[CANTIDAD
(unid.)]]</f>
        <v>0</v>
      </c>
      <c r="AC30" s="284">
        <f>TABLA_BASE[[#This Row],[TOTAL PAGO
SUNAT
UNIT.(US$)]]*'📋 Datos Generales'!$E$19</f>
        <v>0</v>
      </c>
      <c r="AD30" s="284">
        <f>TABLA_BASE[[#This Row],[TOTAL TRIB.
UNIT.(S/.)]]*TABLA_BASE[[#This Row],[CANTIDAD
(unid.)]]</f>
        <v>0</v>
      </c>
      <c r="AE30" s="282">
        <f>IF('🧾 Factura Comercial'!G32=0,0,'📦 Gastos Importación'!$E$28*(IF('🧾 Tributos Aduana'!$F$6=0,0,'🧾 Factura Comercial'!I32/'🧾 Tributos Aduana'!$F$6))/'🧾 Factura Comercial'!G32)</f>
        <v>0</v>
      </c>
      <c r="AF30" s="282">
        <f>TABLA_BASE[[#This Row],[GASTOS IMP.
UNIT.(US$)]]*TABLA_BASE[[#This Row],[CANTIDAD
(unid.)]]</f>
        <v>0</v>
      </c>
      <c r="AG30" s="284">
        <f>TABLA_BASE[[#This Row],[GASTOS IMP.
UNIT.(US$)]]*'📋 Datos Generales'!$E$19</f>
        <v>0</v>
      </c>
      <c r="AH30" s="284">
        <f>TABLA_BASE[[#This Row],[GASTOS IMP.
UNIT.(S/.)]]*TABLA_BASE[[#This Row],[CANTIDAD
(unid.)]]</f>
        <v>0</v>
      </c>
      <c r="AI30" s="283">
        <f>'🧮 Costos x Producto'!J34</f>
        <v>0</v>
      </c>
      <c r="AJ30" s="282">
        <f>'🧮 Costos x Producto'!K34</f>
        <v>0</v>
      </c>
      <c r="AK30" s="282">
        <f>IF('🧾 Factura Comercial'!G32=0,0,'🧾 Tributos Aduana'!$F$17*(IF('🧾 Tributos Aduana'!$F$6=0,0,'🧾 Factura Comercial'!I32/'🧾 Tributos Aduana'!$F$6))/'🧾 Factura Comercial'!G32)</f>
        <v>0</v>
      </c>
      <c r="AL30" s="282">
        <f>IF('🧾 Factura Comercial'!G32=0,0,'🏦 Crédito Fiscal'!$C$16*(IF('🧾 Tributos Aduana'!$F$6=0,0,'🧾 Factura Comercial'!I32/'🧾 Tributos Aduana'!$F$6))/'🧾 Factura Comercial'!G32)</f>
        <v>0</v>
      </c>
      <c r="AM30" s="284">
        <f>TABLA_BASE[[#This Row],[CF UNIT.
✅RECUP.
(US$)]]*'📋 Datos Generales'!$E$19</f>
        <v>0</v>
      </c>
      <c r="AN30" s="281">
        <f>TABLA_BASE[[#This Row],[CF UNIT.
✅RECUP.(S/.)]]*TABLA_BASE[[#This Row],[CANTIDAD
(unid.)]]</f>
        <v>0</v>
      </c>
      <c r="AO30" s="298">
        <f>'💰 Precio de Venta'!G35</f>
        <v>0.4</v>
      </c>
      <c r="AP30" s="284">
        <f>'💰 Precio de Venta'!H35</f>
        <v>0</v>
      </c>
      <c r="AQ30" s="284">
        <f>'💰 Precio de Venta'!I35</f>
        <v>0</v>
      </c>
      <c r="AR30" s="281">
        <f>'💰 Precio de Venta'!J35</f>
        <v>0</v>
      </c>
      <c r="AS30" s="300">
        <f>'💰 Precio de Venta'!K35</f>
        <v>0</v>
      </c>
      <c r="AT30" s="281">
        <f>TABLA_BASE[[#This Row],[GANANCIA
UNIT.(S/.)]]*'🧾 Factura Comercial'!G32</f>
        <v>0</v>
      </c>
      <c r="AU30" s="280">
        <f>IF(TABLA_BASE[[#This Row],[PRECIO VTA.
c/IGV(S/.)]]=0,0,TABLA_BASE[[#This Row],[GANANCIA
UNIT.(S/.)]]/TABLA_BASE[[#This Row],[PRECIO VTA.
c/IGV(S/.)]])</f>
        <v>0</v>
      </c>
      <c r="AV30" s="280">
        <f>IF(TABLA_BASE[[#This Row],[C/M UNIT.
(S/.)]]=0,0,TABLA_BASE[[#This Row],[GANANCIA
UNIT.(S/.)]]/TABLA_BASE[[#This Row],[C/M UNIT.
(S/.)]])</f>
        <v>0</v>
      </c>
      <c r="AW30" s="277" t="str">
        <f>IF(TABLA_BASE[[#This Row],[MARGEN
%]]&gt;=0.5,"🟢 ALTO",IF(TABLA_BASE[[#This Row],[MARGEN
%]]&gt;=0.3,"🟡 MEDIO","🔴 BAJO"))</f>
        <v>🟡 MEDIO</v>
      </c>
    </row>
    <row r="31" spans="1:49" ht="16.5" hidden="1" thickTop="1" thickBot="1" x14ac:dyDescent="0.3">
      <c r="A31" s="277">
        <f>'🧾 Factura Comercial'!E33</f>
        <v>0</v>
      </c>
      <c r="B31" s="277" t="str">
        <f>'🧾 Factura Comercial'!F33</f>
        <v>Unid.</v>
      </c>
      <c r="C31" s="278">
        <f>'🧾 Factura Comercial'!G33</f>
        <v>0</v>
      </c>
      <c r="D31" s="279">
        <f>'🧾 Factura Comercial'!H33</f>
        <v>0</v>
      </c>
      <c r="E31" s="279">
        <f>'🧾 Factura Comercial'!I33</f>
        <v>0</v>
      </c>
      <c r="F31" s="280">
        <f>IF('🧾 Tributos Aduana'!$F$6=0,0,'🧾 Factura Comercial'!I33/'🧾 Tributos Aduana'!$F$6)</f>
        <v>0</v>
      </c>
      <c r="G31" s="281">
        <f>'🧾 Factura Comercial'!H33*'📋 Datos Generales'!$E$19</f>
        <v>0</v>
      </c>
      <c r="H31" s="281">
        <f>TABLA_BASE[[#This Row],[FOB UNIT.
(S/.)]]*TABLA_BASE[[#This Row],[CANTIDAD
(unid.)]]</f>
        <v>0</v>
      </c>
      <c r="I31" s="283">
        <f>IF('🧾 Tributos Aduana'!$F$6=0,0,'🧾 Tributos Aduana'!$F$17*('🧾 Factura Comercial'!H33/'🧾 Tributos Aduana'!$F$6))</f>
        <v>0</v>
      </c>
      <c r="J31" s="283">
        <f>TABLA_BASE[[#This Row],[ADV UNIT.
(US$)
⚠️COSTO]]*TABLA_BASE[[#This Row],[CANTIDAD
(unid.)]]</f>
        <v>0</v>
      </c>
      <c r="K31" s="282">
        <f>IF('🧾 Tributos Aduana'!$F$6=0,0,'🧾 Tributos Aduana'!$F$18*('🧾 Factura Comercial'!H33/'🧾 Tributos Aduana'!$F$6))</f>
        <v>0</v>
      </c>
      <c r="L31" s="283">
        <f>TABLA_BASE[[#This Row],[IPM UNIT.
(US$)
✅CF]]*TABLA_BASE[[#This Row],[CANTIDAD
(unid.)]]</f>
        <v>0</v>
      </c>
      <c r="M31" s="282">
        <f>IF('🧾 Tributos Aduana'!$F$6=0,0,'🧾 Tributos Aduana'!$F$19*('🧾 Factura Comercial'!H33/'🧾 Tributos Aduana'!$F$6))</f>
        <v>0</v>
      </c>
      <c r="N31" s="283">
        <f>TABLA_BASE[[#This Row],[IGV UNIT.
(US$)
✅CF]]*TABLA_BASE[[#This Row],[CANTIDAD
(unid.)]]</f>
        <v>0</v>
      </c>
      <c r="O31" s="283">
        <f>IF('🧾 Tributos Aduana'!$F$6=0,0,'🧾 Tributos Aduana'!$F$23*('🧾 Factura Comercial'!H33/'🧾 Tributos Aduana'!$F$6))</f>
        <v>0</v>
      </c>
      <c r="P31" s="283">
        <f>TABLA_BASE[[#This Row],[PERCEP.
UNIT.(US$)
✅CF]]*TABLA_BASE[[#This Row],[CANTIDAD
(unid.)]]</f>
        <v>0</v>
      </c>
      <c r="Q31" s="282">
        <f>TABLA_BASE[[#This Row],[ADV UNIT.
(US$)
⚠️COSTO]]+TABLA_BASE[[#This Row],[IPM UNIT.
(US$)
✅CF]]+TABLA_BASE[[#This Row],[IGV UNIT.
(US$)
✅CF]]</f>
        <v>0</v>
      </c>
      <c r="R31" s="283">
        <f>TABLA_BASE[[#This Row],[DEUDA
ADUANERA
UNIT.]]*TABLA_BASE[[#This Row],[CANTIDAD
(unid.)]]</f>
        <v>0</v>
      </c>
      <c r="S31" s="284">
        <f>TABLA_BASE[[#This Row],[ADV UNIT.
(US$)
⚠️COSTO]]*'📋 Datos Generales'!$E$19</f>
        <v>0</v>
      </c>
      <c r="T31" s="284">
        <f>TABLA_BASE[[#This Row],[ADV UNIT.
(S/.)]]*TABLA_BASE[[#This Row],[CANTIDAD
(unid.)]]</f>
        <v>0</v>
      </c>
      <c r="U31" s="284">
        <f>TABLA_BASE[[#This Row],[IPM UNIT.
(US$)
✅CF]]*'📋 Datos Generales'!$E$19</f>
        <v>0</v>
      </c>
      <c r="V31" s="284">
        <f>TABLA_BASE[[#This Row],[IPM UNIT.
(S/.)]]*TABLA_BASE[[#This Row],[CANTIDAD
(unid.)]]</f>
        <v>0</v>
      </c>
      <c r="W31" s="284">
        <f>TABLA_BASE[[#This Row],[IGV UNIT.
(US$)
✅CF]]*'📋 Datos Generales'!$E$19</f>
        <v>0</v>
      </c>
      <c r="X31" s="284">
        <f>TABLA_BASE[[#This Row],[IGV UNIT.
(S/.)]]*TABLA_BASE[[#This Row],[CANTIDAD
(unid.)]]</f>
        <v>0</v>
      </c>
      <c r="Y31" s="284">
        <f>TABLA_BASE[[#This Row],[PERCEP.
UNIT.(US$)
✅CF]]*'📋 Datos Generales'!$E$19</f>
        <v>0</v>
      </c>
      <c r="Z31" s="284">
        <f>TABLA_BASE[[#This Row],[PERCEP.
UNIT.(S/.)]]*TABLA_BASE[[#This Row],[CANTIDAD
(unid.)]]</f>
        <v>0</v>
      </c>
      <c r="AA31" s="282">
        <f>TABLA_BASE[[#This Row],[ADV UNIT.
(US$)
⚠️COSTO]]+TABLA_BASE[[#This Row],[IPM UNIT.
(US$)
✅CF]]+TABLA_BASE[[#This Row],[IGV UNIT.
(US$)
✅CF]]+TABLA_BASE[[#This Row],[PERCEP.
UNIT.(US$)
✅CF]]</f>
        <v>0</v>
      </c>
      <c r="AB31" s="282">
        <f>TABLA_BASE[[#This Row],[TOTAL PAGO
SUNAT
UNIT.(US$)]]*TABLA_BASE[[#This Row],[CANTIDAD
(unid.)]]</f>
        <v>0</v>
      </c>
      <c r="AC31" s="284">
        <f>TABLA_BASE[[#This Row],[TOTAL PAGO
SUNAT
UNIT.(US$)]]*'📋 Datos Generales'!$E$19</f>
        <v>0</v>
      </c>
      <c r="AD31" s="284">
        <f>TABLA_BASE[[#This Row],[TOTAL TRIB.
UNIT.(S/.)]]*TABLA_BASE[[#This Row],[CANTIDAD
(unid.)]]</f>
        <v>0</v>
      </c>
      <c r="AE31" s="282">
        <f>IF('🧾 Factura Comercial'!G33=0,0,'📦 Gastos Importación'!$E$28*(IF('🧾 Tributos Aduana'!$F$6=0,0,'🧾 Factura Comercial'!I33/'🧾 Tributos Aduana'!$F$6))/'🧾 Factura Comercial'!G33)</f>
        <v>0</v>
      </c>
      <c r="AF31" s="282">
        <f>TABLA_BASE[[#This Row],[GASTOS IMP.
UNIT.(US$)]]*TABLA_BASE[[#This Row],[CANTIDAD
(unid.)]]</f>
        <v>0</v>
      </c>
      <c r="AG31" s="284">
        <f>TABLA_BASE[[#This Row],[GASTOS IMP.
UNIT.(US$)]]*'📋 Datos Generales'!$E$19</f>
        <v>0</v>
      </c>
      <c r="AH31" s="284">
        <f>TABLA_BASE[[#This Row],[GASTOS IMP.
UNIT.(S/.)]]*TABLA_BASE[[#This Row],[CANTIDAD
(unid.)]]</f>
        <v>0</v>
      </c>
      <c r="AI31" s="283">
        <f>'🧮 Costos x Producto'!J35</f>
        <v>0</v>
      </c>
      <c r="AJ31" s="282">
        <f>'🧮 Costos x Producto'!K35</f>
        <v>0</v>
      </c>
      <c r="AK31" s="282">
        <f>IF('🧾 Factura Comercial'!G33=0,0,'🧾 Tributos Aduana'!$F$17*(IF('🧾 Tributos Aduana'!$F$6=0,0,'🧾 Factura Comercial'!I33/'🧾 Tributos Aduana'!$F$6))/'🧾 Factura Comercial'!G33)</f>
        <v>0</v>
      </c>
      <c r="AL31" s="282">
        <f>IF('🧾 Factura Comercial'!G33=0,0,'🏦 Crédito Fiscal'!$C$16*(IF('🧾 Tributos Aduana'!$F$6=0,0,'🧾 Factura Comercial'!I33/'🧾 Tributos Aduana'!$F$6))/'🧾 Factura Comercial'!G33)</f>
        <v>0</v>
      </c>
      <c r="AM31" s="284">
        <f>TABLA_BASE[[#This Row],[CF UNIT.
✅RECUP.
(US$)]]*'📋 Datos Generales'!$E$19</f>
        <v>0</v>
      </c>
      <c r="AN31" s="281">
        <f>TABLA_BASE[[#This Row],[CF UNIT.
✅RECUP.(S/.)]]*TABLA_BASE[[#This Row],[CANTIDAD
(unid.)]]</f>
        <v>0</v>
      </c>
      <c r="AO31" s="298">
        <f>'💰 Precio de Venta'!G36</f>
        <v>0.4</v>
      </c>
      <c r="AP31" s="284">
        <f>'💰 Precio de Venta'!H36</f>
        <v>0</v>
      </c>
      <c r="AQ31" s="284">
        <f>'💰 Precio de Venta'!I36</f>
        <v>0</v>
      </c>
      <c r="AR31" s="281">
        <f>'💰 Precio de Venta'!J36</f>
        <v>0</v>
      </c>
      <c r="AS31" s="300">
        <f>'💰 Precio de Venta'!K36</f>
        <v>0</v>
      </c>
      <c r="AT31" s="281">
        <f>TABLA_BASE[[#This Row],[GANANCIA
UNIT.(S/.)]]*'🧾 Factura Comercial'!G33</f>
        <v>0</v>
      </c>
      <c r="AU31" s="280">
        <f>IF(TABLA_BASE[[#This Row],[PRECIO VTA.
c/IGV(S/.)]]=0,0,TABLA_BASE[[#This Row],[GANANCIA
UNIT.(S/.)]]/TABLA_BASE[[#This Row],[PRECIO VTA.
c/IGV(S/.)]])</f>
        <v>0</v>
      </c>
      <c r="AV31" s="280">
        <f>IF(TABLA_BASE[[#This Row],[C/M UNIT.
(S/.)]]=0,0,TABLA_BASE[[#This Row],[GANANCIA
UNIT.(S/.)]]/TABLA_BASE[[#This Row],[C/M UNIT.
(S/.)]])</f>
        <v>0</v>
      </c>
      <c r="AW31" s="277" t="str">
        <f>IF(TABLA_BASE[[#This Row],[MARGEN
%]]&gt;=0.5,"🟢 ALTO",IF(TABLA_BASE[[#This Row],[MARGEN
%]]&gt;=0.3,"🟡 MEDIO","🔴 BAJO"))</f>
        <v>🟡 MEDIO</v>
      </c>
    </row>
    <row r="32" spans="1:49" ht="16.5" hidden="1" thickTop="1" thickBot="1" x14ac:dyDescent="0.3">
      <c r="A32" s="277">
        <f>'🧾 Factura Comercial'!E34</f>
        <v>0</v>
      </c>
      <c r="B32" s="277" t="str">
        <f>'🧾 Factura Comercial'!F34</f>
        <v>Unid.</v>
      </c>
      <c r="C32" s="278">
        <f>'🧾 Factura Comercial'!G34</f>
        <v>0</v>
      </c>
      <c r="D32" s="279">
        <f>'🧾 Factura Comercial'!H34</f>
        <v>0</v>
      </c>
      <c r="E32" s="279">
        <f>'🧾 Factura Comercial'!I34</f>
        <v>0</v>
      </c>
      <c r="F32" s="280">
        <f>IF('🧾 Tributos Aduana'!$F$6=0,0,'🧾 Factura Comercial'!I34/'🧾 Tributos Aduana'!$F$6)</f>
        <v>0</v>
      </c>
      <c r="G32" s="281">
        <f>'🧾 Factura Comercial'!H34*'📋 Datos Generales'!$E$19</f>
        <v>0</v>
      </c>
      <c r="H32" s="281">
        <f>TABLA_BASE[[#This Row],[FOB UNIT.
(S/.)]]*TABLA_BASE[[#This Row],[CANTIDAD
(unid.)]]</f>
        <v>0</v>
      </c>
      <c r="I32" s="283">
        <f>IF('🧾 Tributos Aduana'!$F$6=0,0,'🧾 Tributos Aduana'!$F$17*('🧾 Factura Comercial'!H34/'🧾 Tributos Aduana'!$F$6))</f>
        <v>0</v>
      </c>
      <c r="J32" s="283">
        <f>TABLA_BASE[[#This Row],[ADV UNIT.
(US$)
⚠️COSTO]]*TABLA_BASE[[#This Row],[CANTIDAD
(unid.)]]</f>
        <v>0</v>
      </c>
      <c r="K32" s="282">
        <f>IF('🧾 Tributos Aduana'!$F$6=0,0,'🧾 Tributos Aduana'!$F$18*('🧾 Factura Comercial'!H34/'🧾 Tributos Aduana'!$F$6))</f>
        <v>0</v>
      </c>
      <c r="L32" s="283">
        <f>TABLA_BASE[[#This Row],[IPM UNIT.
(US$)
✅CF]]*TABLA_BASE[[#This Row],[CANTIDAD
(unid.)]]</f>
        <v>0</v>
      </c>
      <c r="M32" s="282">
        <f>IF('🧾 Tributos Aduana'!$F$6=0,0,'🧾 Tributos Aduana'!$F$19*('🧾 Factura Comercial'!H34/'🧾 Tributos Aduana'!$F$6))</f>
        <v>0</v>
      </c>
      <c r="N32" s="283">
        <f>TABLA_BASE[[#This Row],[IGV UNIT.
(US$)
✅CF]]*TABLA_BASE[[#This Row],[CANTIDAD
(unid.)]]</f>
        <v>0</v>
      </c>
      <c r="O32" s="283">
        <f>IF('🧾 Tributos Aduana'!$F$6=0,0,'🧾 Tributos Aduana'!$F$23*('🧾 Factura Comercial'!H34/'🧾 Tributos Aduana'!$F$6))</f>
        <v>0</v>
      </c>
      <c r="P32" s="283">
        <f>TABLA_BASE[[#This Row],[PERCEP.
UNIT.(US$)
✅CF]]*TABLA_BASE[[#This Row],[CANTIDAD
(unid.)]]</f>
        <v>0</v>
      </c>
      <c r="Q32" s="282">
        <f>TABLA_BASE[[#This Row],[ADV UNIT.
(US$)
⚠️COSTO]]+TABLA_BASE[[#This Row],[IPM UNIT.
(US$)
✅CF]]+TABLA_BASE[[#This Row],[IGV UNIT.
(US$)
✅CF]]</f>
        <v>0</v>
      </c>
      <c r="R32" s="283">
        <f>TABLA_BASE[[#This Row],[DEUDA
ADUANERA
UNIT.]]*TABLA_BASE[[#This Row],[CANTIDAD
(unid.)]]</f>
        <v>0</v>
      </c>
      <c r="S32" s="284">
        <f>TABLA_BASE[[#This Row],[ADV UNIT.
(US$)
⚠️COSTO]]*'📋 Datos Generales'!$E$19</f>
        <v>0</v>
      </c>
      <c r="T32" s="284">
        <f>TABLA_BASE[[#This Row],[ADV UNIT.
(S/.)]]*TABLA_BASE[[#This Row],[CANTIDAD
(unid.)]]</f>
        <v>0</v>
      </c>
      <c r="U32" s="284">
        <f>TABLA_BASE[[#This Row],[IPM UNIT.
(US$)
✅CF]]*'📋 Datos Generales'!$E$19</f>
        <v>0</v>
      </c>
      <c r="V32" s="284">
        <f>TABLA_BASE[[#This Row],[IPM UNIT.
(S/.)]]*TABLA_BASE[[#This Row],[CANTIDAD
(unid.)]]</f>
        <v>0</v>
      </c>
      <c r="W32" s="284">
        <f>TABLA_BASE[[#This Row],[IGV UNIT.
(US$)
✅CF]]*'📋 Datos Generales'!$E$19</f>
        <v>0</v>
      </c>
      <c r="X32" s="284">
        <f>TABLA_BASE[[#This Row],[IGV UNIT.
(S/.)]]*TABLA_BASE[[#This Row],[CANTIDAD
(unid.)]]</f>
        <v>0</v>
      </c>
      <c r="Y32" s="284">
        <f>TABLA_BASE[[#This Row],[PERCEP.
UNIT.(US$)
✅CF]]*'📋 Datos Generales'!$E$19</f>
        <v>0</v>
      </c>
      <c r="Z32" s="284">
        <f>TABLA_BASE[[#This Row],[PERCEP.
UNIT.(S/.)]]*TABLA_BASE[[#This Row],[CANTIDAD
(unid.)]]</f>
        <v>0</v>
      </c>
      <c r="AA32" s="282">
        <f>TABLA_BASE[[#This Row],[ADV UNIT.
(US$)
⚠️COSTO]]+TABLA_BASE[[#This Row],[IPM UNIT.
(US$)
✅CF]]+TABLA_BASE[[#This Row],[IGV UNIT.
(US$)
✅CF]]+TABLA_BASE[[#This Row],[PERCEP.
UNIT.(US$)
✅CF]]</f>
        <v>0</v>
      </c>
      <c r="AB32" s="282">
        <f>TABLA_BASE[[#This Row],[TOTAL PAGO
SUNAT
UNIT.(US$)]]*TABLA_BASE[[#This Row],[CANTIDAD
(unid.)]]</f>
        <v>0</v>
      </c>
      <c r="AC32" s="284">
        <f>TABLA_BASE[[#This Row],[TOTAL PAGO
SUNAT
UNIT.(US$)]]*'📋 Datos Generales'!$E$19</f>
        <v>0</v>
      </c>
      <c r="AD32" s="284">
        <f>TABLA_BASE[[#This Row],[TOTAL TRIB.
UNIT.(S/.)]]*TABLA_BASE[[#This Row],[CANTIDAD
(unid.)]]</f>
        <v>0</v>
      </c>
      <c r="AE32" s="282">
        <f>IF('🧾 Factura Comercial'!G34=0,0,'📦 Gastos Importación'!$E$28*(IF('🧾 Tributos Aduana'!$F$6=0,0,'🧾 Factura Comercial'!I34/'🧾 Tributos Aduana'!$F$6))/'🧾 Factura Comercial'!G34)</f>
        <v>0</v>
      </c>
      <c r="AF32" s="282">
        <f>TABLA_BASE[[#This Row],[GASTOS IMP.
UNIT.(US$)]]*TABLA_BASE[[#This Row],[CANTIDAD
(unid.)]]</f>
        <v>0</v>
      </c>
      <c r="AG32" s="284">
        <f>TABLA_BASE[[#This Row],[GASTOS IMP.
UNIT.(US$)]]*'📋 Datos Generales'!$E$19</f>
        <v>0</v>
      </c>
      <c r="AH32" s="284">
        <f>TABLA_BASE[[#This Row],[GASTOS IMP.
UNIT.(S/.)]]*TABLA_BASE[[#This Row],[CANTIDAD
(unid.)]]</f>
        <v>0</v>
      </c>
      <c r="AI32" s="283">
        <f>'🧮 Costos x Producto'!J36</f>
        <v>0</v>
      </c>
      <c r="AJ32" s="282">
        <f>'🧮 Costos x Producto'!K36</f>
        <v>0</v>
      </c>
      <c r="AK32" s="282">
        <f>IF('🧾 Factura Comercial'!G34=0,0,'🧾 Tributos Aduana'!$F$17*(IF('🧾 Tributos Aduana'!$F$6=0,0,'🧾 Factura Comercial'!I34/'🧾 Tributos Aduana'!$F$6))/'🧾 Factura Comercial'!G34)</f>
        <v>0</v>
      </c>
      <c r="AL32" s="282">
        <f>IF('🧾 Factura Comercial'!G34=0,0,'🏦 Crédito Fiscal'!$C$16*(IF('🧾 Tributos Aduana'!$F$6=0,0,'🧾 Factura Comercial'!I34/'🧾 Tributos Aduana'!$F$6))/'🧾 Factura Comercial'!G34)</f>
        <v>0</v>
      </c>
      <c r="AM32" s="284">
        <f>TABLA_BASE[[#This Row],[CF UNIT.
✅RECUP.
(US$)]]*'📋 Datos Generales'!$E$19</f>
        <v>0</v>
      </c>
      <c r="AN32" s="281">
        <f>TABLA_BASE[[#This Row],[CF UNIT.
✅RECUP.(S/.)]]*TABLA_BASE[[#This Row],[CANTIDAD
(unid.)]]</f>
        <v>0</v>
      </c>
      <c r="AO32" s="298">
        <f>'💰 Precio de Venta'!G37</f>
        <v>0.4</v>
      </c>
      <c r="AP32" s="284">
        <f>'💰 Precio de Venta'!H37</f>
        <v>0</v>
      </c>
      <c r="AQ32" s="284">
        <f>'💰 Precio de Venta'!I37</f>
        <v>0</v>
      </c>
      <c r="AR32" s="281">
        <f>'💰 Precio de Venta'!J37</f>
        <v>0</v>
      </c>
      <c r="AS32" s="300">
        <f>'💰 Precio de Venta'!K37</f>
        <v>0</v>
      </c>
      <c r="AT32" s="281">
        <f>TABLA_BASE[[#This Row],[GANANCIA
UNIT.(S/.)]]*'🧾 Factura Comercial'!G34</f>
        <v>0</v>
      </c>
      <c r="AU32" s="280">
        <f>IF(TABLA_BASE[[#This Row],[PRECIO VTA.
c/IGV(S/.)]]=0,0,TABLA_BASE[[#This Row],[GANANCIA
UNIT.(S/.)]]/TABLA_BASE[[#This Row],[PRECIO VTA.
c/IGV(S/.)]])</f>
        <v>0</v>
      </c>
      <c r="AV32" s="280">
        <f>IF(TABLA_BASE[[#This Row],[C/M UNIT.
(S/.)]]=0,0,TABLA_BASE[[#This Row],[GANANCIA
UNIT.(S/.)]]/TABLA_BASE[[#This Row],[C/M UNIT.
(S/.)]])</f>
        <v>0</v>
      </c>
      <c r="AW32" s="277" t="str">
        <f>IF(TABLA_BASE[[#This Row],[MARGEN
%]]&gt;=0.5,"🟢 ALTO",IF(TABLA_BASE[[#This Row],[MARGEN
%]]&gt;=0.3,"🟡 MEDIO","🔴 BAJO"))</f>
        <v>🟡 MEDIO</v>
      </c>
    </row>
    <row r="33" spans="1:49" ht="16.5" hidden="1" thickTop="1" thickBot="1" x14ac:dyDescent="0.3">
      <c r="A33" s="277">
        <f>'🧾 Factura Comercial'!E35</f>
        <v>0</v>
      </c>
      <c r="B33" s="277">
        <f>'🧾 Factura Comercial'!F35</f>
        <v>0</v>
      </c>
      <c r="C33" s="278">
        <f>'🧾 Factura Comercial'!G35</f>
        <v>0</v>
      </c>
      <c r="D33" s="279">
        <f>'🧾 Factura Comercial'!H35</f>
        <v>0</v>
      </c>
      <c r="E33" s="279">
        <f>'🧾 Factura Comercial'!I35</f>
        <v>14213.76</v>
      </c>
      <c r="F33" s="280">
        <f>IF('🧾 Tributos Aduana'!$F$6=0,0,'🧾 Factura Comercial'!I35/'🧾 Tributos Aduana'!$F$6)</f>
        <v>1</v>
      </c>
      <c r="G33" s="281">
        <f>'🧾 Factura Comercial'!H35*'📋 Datos Generales'!$E$19</f>
        <v>0</v>
      </c>
      <c r="H33" s="281">
        <f>TABLA_BASE[[#This Row],[FOB UNIT.
(S/.)]]*TABLA_BASE[[#This Row],[CANTIDAD
(unid.)]]</f>
        <v>0</v>
      </c>
      <c r="I33" s="283">
        <f>IF('🧾 Tributos Aduana'!$F$6=0,0,'🧾 Tributos Aduana'!$F$17*('🧾 Factura Comercial'!H35/'🧾 Tributos Aduana'!$F$6))</f>
        <v>0</v>
      </c>
      <c r="J33" s="283">
        <f>TABLA_BASE[[#This Row],[ADV UNIT.
(US$)
⚠️COSTO]]*TABLA_BASE[[#This Row],[CANTIDAD
(unid.)]]</f>
        <v>0</v>
      </c>
      <c r="K33" s="282">
        <f>IF('🧾 Tributos Aduana'!$F$6=0,0,'🧾 Tributos Aduana'!$F$18*('🧾 Factura Comercial'!H35/'🧾 Tributos Aduana'!$F$6))</f>
        <v>0</v>
      </c>
      <c r="L33" s="283">
        <f>TABLA_BASE[[#This Row],[IPM UNIT.
(US$)
✅CF]]*TABLA_BASE[[#This Row],[CANTIDAD
(unid.)]]</f>
        <v>0</v>
      </c>
      <c r="M33" s="282">
        <f>IF('🧾 Tributos Aduana'!$F$6=0,0,'🧾 Tributos Aduana'!$F$19*('🧾 Factura Comercial'!H35/'🧾 Tributos Aduana'!$F$6))</f>
        <v>0</v>
      </c>
      <c r="N33" s="283">
        <f>TABLA_BASE[[#This Row],[IGV UNIT.
(US$)
✅CF]]*TABLA_BASE[[#This Row],[CANTIDAD
(unid.)]]</f>
        <v>0</v>
      </c>
      <c r="O33" s="283">
        <f>IF('🧾 Tributos Aduana'!$F$6=0,0,'🧾 Tributos Aduana'!$F$23*('🧾 Factura Comercial'!H35/'🧾 Tributos Aduana'!$F$6))</f>
        <v>0</v>
      </c>
      <c r="P33" s="283">
        <f>TABLA_BASE[[#This Row],[PERCEP.
UNIT.(US$)
✅CF]]*TABLA_BASE[[#This Row],[CANTIDAD
(unid.)]]</f>
        <v>0</v>
      </c>
      <c r="Q33" s="282">
        <f>TABLA_BASE[[#This Row],[ADV UNIT.
(US$)
⚠️COSTO]]+TABLA_BASE[[#This Row],[IPM UNIT.
(US$)
✅CF]]+TABLA_BASE[[#This Row],[IGV UNIT.
(US$)
✅CF]]</f>
        <v>0</v>
      </c>
      <c r="R33" s="283">
        <f>TABLA_BASE[[#This Row],[DEUDA
ADUANERA
UNIT.]]*TABLA_BASE[[#This Row],[CANTIDAD
(unid.)]]</f>
        <v>0</v>
      </c>
      <c r="S33" s="284">
        <f>TABLA_BASE[[#This Row],[ADV UNIT.
(US$)
⚠️COSTO]]*'📋 Datos Generales'!$E$19</f>
        <v>0</v>
      </c>
      <c r="T33" s="284">
        <f>TABLA_BASE[[#This Row],[ADV UNIT.
(S/.)]]*TABLA_BASE[[#This Row],[CANTIDAD
(unid.)]]</f>
        <v>0</v>
      </c>
      <c r="U33" s="284">
        <f>TABLA_BASE[[#This Row],[IPM UNIT.
(US$)
✅CF]]*'📋 Datos Generales'!$E$19</f>
        <v>0</v>
      </c>
      <c r="V33" s="284">
        <f>TABLA_BASE[[#This Row],[IPM UNIT.
(S/.)]]*TABLA_BASE[[#This Row],[CANTIDAD
(unid.)]]</f>
        <v>0</v>
      </c>
      <c r="W33" s="284">
        <f>TABLA_BASE[[#This Row],[IGV UNIT.
(US$)
✅CF]]*'📋 Datos Generales'!$E$19</f>
        <v>0</v>
      </c>
      <c r="X33" s="284">
        <f>TABLA_BASE[[#This Row],[IGV UNIT.
(S/.)]]*TABLA_BASE[[#This Row],[CANTIDAD
(unid.)]]</f>
        <v>0</v>
      </c>
      <c r="Y33" s="284">
        <f>TABLA_BASE[[#This Row],[PERCEP.
UNIT.(US$)
✅CF]]*'📋 Datos Generales'!$E$19</f>
        <v>0</v>
      </c>
      <c r="Z33" s="284">
        <f>TABLA_BASE[[#This Row],[PERCEP.
UNIT.(S/.)]]*TABLA_BASE[[#This Row],[CANTIDAD
(unid.)]]</f>
        <v>0</v>
      </c>
      <c r="AA33" s="282">
        <f>TABLA_BASE[[#This Row],[ADV UNIT.
(US$)
⚠️COSTO]]+TABLA_BASE[[#This Row],[IPM UNIT.
(US$)
✅CF]]+TABLA_BASE[[#This Row],[IGV UNIT.
(US$)
✅CF]]+TABLA_BASE[[#This Row],[PERCEP.
UNIT.(US$)
✅CF]]</f>
        <v>0</v>
      </c>
      <c r="AB33" s="282">
        <f>TABLA_BASE[[#This Row],[TOTAL PAGO
SUNAT
UNIT.(US$)]]*TABLA_BASE[[#This Row],[CANTIDAD
(unid.)]]</f>
        <v>0</v>
      </c>
      <c r="AC33" s="284">
        <f>TABLA_BASE[[#This Row],[TOTAL PAGO
SUNAT
UNIT.(US$)]]*'📋 Datos Generales'!$E$19</f>
        <v>0</v>
      </c>
      <c r="AD33" s="284">
        <f>TABLA_BASE[[#This Row],[TOTAL TRIB.
UNIT.(S/.)]]*TABLA_BASE[[#This Row],[CANTIDAD
(unid.)]]</f>
        <v>0</v>
      </c>
      <c r="AE33" s="282">
        <f>IF('🧾 Factura Comercial'!G35=0,0,'📦 Gastos Importación'!$E$28*(IF('🧾 Tributos Aduana'!$F$6=0,0,'🧾 Factura Comercial'!I35/'🧾 Tributos Aduana'!$F$6))/'🧾 Factura Comercial'!G35)</f>
        <v>0</v>
      </c>
      <c r="AF33" s="282">
        <f>TABLA_BASE[[#This Row],[GASTOS IMP.
UNIT.(US$)]]*TABLA_BASE[[#This Row],[CANTIDAD
(unid.)]]</f>
        <v>0</v>
      </c>
      <c r="AG33" s="284">
        <f>TABLA_BASE[[#This Row],[GASTOS IMP.
UNIT.(US$)]]*'📋 Datos Generales'!$E$19</f>
        <v>0</v>
      </c>
      <c r="AH33" s="284">
        <f>TABLA_BASE[[#This Row],[GASTOS IMP.
UNIT.(S/.)]]*TABLA_BASE[[#This Row],[CANTIDAD
(unid.)]]</f>
        <v>0</v>
      </c>
      <c r="AI33" s="283">
        <f>'🧮 Costos x Producto'!J37</f>
        <v>0</v>
      </c>
      <c r="AJ33" s="282">
        <f>'🧮 Costos x Producto'!K37</f>
        <v>0</v>
      </c>
      <c r="AK33" s="282">
        <f>IF('🧾 Factura Comercial'!G35=0,0,'🧾 Tributos Aduana'!$F$17*(IF('🧾 Tributos Aduana'!$F$6=0,0,'🧾 Factura Comercial'!I35/'🧾 Tributos Aduana'!$F$6))/'🧾 Factura Comercial'!G35)</f>
        <v>0</v>
      </c>
      <c r="AL33" s="282">
        <f>IF('🧾 Factura Comercial'!G35=0,0,'🏦 Crédito Fiscal'!$C$16*(IF('🧾 Tributos Aduana'!$F$6=0,0,'🧾 Factura Comercial'!I35/'🧾 Tributos Aduana'!$F$6))/'🧾 Factura Comercial'!G35)</f>
        <v>0</v>
      </c>
      <c r="AM33" s="284">
        <f>TABLA_BASE[[#This Row],[CF UNIT.
✅RECUP.
(US$)]]*'📋 Datos Generales'!$E$19</f>
        <v>0</v>
      </c>
      <c r="AN33" s="281">
        <f>TABLA_BASE[[#This Row],[CF UNIT.
✅RECUP.(S/.)]]*TABLA_BASE[[#This Row],[CANTIDAD
(unid.)]]</f>
        <v>0</v>
      </c>
      <c r="AO33" s="298">
        <f>'💰 Precio de Venta'!G38</f>
        <v>0</v>
      </c>
      <c r="AP33" s="284">
        <f>'💰 Precio de Venta'!H38</f>
        <v>0</v>
      </c>
      <c r="AQ33" s="284">
        <f>'💰 Precio de Venta'!I38</f>
        <v>0</v>
      </c>
      <c r="AR33" s="281">
        <f>'💰 Precio de Venta'!J38</f>
        <v>0</v>
      </c>
      <c r="AS33" s="300">
        <f>'💰 Precio de Venta'!K38</f>
        <v>0</v>
      </c>
      <c r="AT33" s="281">
        <f>TABLA_BASE[[#This Row],[GANANCIA
UNIT.(S/.)]]*'🧾 Factura Comercial'!G35</f>
        <v>0</v>
      </c>
      <c r="AU33" s="280">
        <f>IF(TABLA_BASE[[#This Row],[PRECIO VTA.
c/IGV(S/.)]]=0,0,TABLA_BASE[[#This Row],[GANANCIA
UNIT.(S/.)]]/TABLA_BASE[[#This Row],[PRECIO VTA.
c/IGV(S/.)]])</f>
        <v>0</v>
      </c>
      <c r="AV33" s="280">
        <f>IF(TABLA_BASE[[#This Row],[C/M UNIT.
(S/.)]]=0,0,TABLA_BASE[[#This Row],[GANANCIA
UNIT.(S/.)]]/TABLA_BASE[[#This Row],[C/M UNIT.
(S/.)]])</f>
        <v>0</v>
      </c>
      <c r="AW33" s="277" t="str">
        <f>IF(TABLA_BASE[[#This Row],[MARGEN
%]]&gt;=0.5,"🟢 ALTO",IF(TABLA_BASE[[#This Row],[MARGEN
%]]&gt;=0.3,"🟡 MEDIO","🔴 BAJO"))</f>
        <v>🔴 BAJO</v>
      </c>
    </row>
    <row r="34" spans="1:49" ht="16.5" hidden="1" thickTop="1" thickBot="1" x14ac:dyDescent="0.3">
      <c r="A34" s="277">
        <f>'🧾 Factura Comercial'!E36</f>
        <v>0</v>
      </c>
      <c r="B34" s="277">
        <f>'🧾 Factura Comercial'!F36</f>
        <v>0</v>
      </c>
      <c r="C34" s="278">
        <f>'🧾 Factura Comercial'!G36</f>
        <v>0</v>
      </c>
      <c r="D34" s="279">
        <f>'🧾 Factura Comercial'!H36</f>
        <v>0</v>
      </c>
      <c r="E34" s="279">
        <f>'🧾 Factura Comercial'!I36</f>
        <v>0</v>
      </c>
      <c r="F34" s="280">
        <f>IF('🧾 Tributos Aduana'!$F$6=0,0,'🧾 Factura Comercial'!I36/'🧾 Tributos Aduana'!$F$6)</f>
        <v>0</v>
      </c>
      <c r="G34" s="281">
        <f>'🧾 Factura Comercial'!H36*'📋 Datos Generales'!$E$19</f>
        <v>0</v>
      </c>
      <c r="H34" s="281">
        <f>TABLA_BASE[[#This Row],[FOB UNIT.
(S/.)]]*TABLA_BASE[[#This Row],[CANTIDAD
(unid.)]]</f>
        <v>0</v>
      </c>
      <c r="I34" s="283">
        <f>IF('🧾 Tributos Aduana'!$F$6=0,0,'🧾 Tributos Aduana'!$F$17*('🧾 Factura Comercial'!H36/'🧾 Tributos Aduana'!$F$6))</f>
        <v>0</v>
      </c>
      <c r="J34" s="283">
        <f>TABLA_BASE[[#This Row],[ADV UNIT.
(US$)
⚠️COSTO]]*TABLA_BASE[[#This Row],[CANTIDAD
(unid.)]]</f>
        <v>0</v>
      </c>
      <c r="K34" s="282">
        <f>IF('🧾 Tributos Aduana'!$F$6=0,0,'🧾 Tributos Aduana'!$F$18*('🧾 Factura Comercial'!H36/'🧾 Tributos Aduana'!$F$6))</f>
        <v>0</v>
      </c>
      <c r="L34" s="283">
        <f>TABLA_BASE[[#This Row],[IPM UNIT.
(US$)
✅CF]]*TABLA_BASE[[#This Row],[CANTIDAD
(unid.)]]</f>
        <v>0</v>
      </c>
      <c r="M34" s="282">
        <f>IF('🧾 Tributos Aduana'!$F$6=0,0,'🧾 Tributos Aduana'!$F$19*('🧾 Factura Comercial'!H36/'🧾 Tributos Aduana'!$F$6))</f>
        <v>0</v>
      </c>
      <c r="N34" s="283">
        <f>TABLA_BASE[[#This Row],[IGV UNIT.
(US$)
✅CF]]*TABLA_BASE[[#This Row],[CANTIDAD
(unid.)]]</f>
        <v>0</v>
      </c>
      <c r="O34" s="283">
        <f>IF('🧾 Tributos Aduana'!$F$6=0,0,'🧾 Tributos Aduana'!$F$23*('🧾 Factura Comercial'!H36/'🧾 Tributos Aduana'!$F$6))</f>
        <v>0</v>
      </c>
      <c r="P34" s="283">
        <f>TABLA_BASE[[#This Row],[PERCEP.
UNIT.(US$)
✅CF]]*TABLA_BASE[[#This Row],[CANTIDAD
(unid.)]]</f>
        <v>0</v>
      </c>
      <c r="Q34" s="282">
        <f>TABLA_BASE[[#This Row],[ADV UNIT.
(US$)
⚠️COSTO]]+TABLA_BASE[[#This Row],[IPM UNIT.
(US$)
✅CF]]+TABLA_BASE[[#This Row],[IGV UNIT.
(US$)
✅CF]]</f>
        <v>0</v>
      </c>
      <c r="R34" s="283">
        <f>TABLA_BASE[[#This Row],[DEUDA
ADUANERA
UNIT.]]*TABLA_BASE[[#This Row],[CANTIDAD
(unid.)]]</f>
        <v>0</v>
      </c>
      <c r="S34" s="284">
        <f>TABLA_BASE[[#This Row],[ADV UNIT.
(US$)
⚠️COSTO]]*'📋 Datos Generales'!$E$19</f>
        <v>0</v>
      </c>
      <c r="T34" s="284">
        <f>TABLA_BASE[[#This Row],[ADV UNIT.
(S/.)]]*TABLA_BASE[[#This Row],[CANTIDAD
(unid.)]]</f>
        <v>0</v>
      </c>
      <c r="U34" s="284">
        <f>TABLA_BASE[[#This Row],[IPM UNIT.
(US$)
✅CF]]*'📋 Datos Generales'!$E$19</f>
        <v>0</v>
      </c>
      <c r="V34" s="284">
        <f>TABLA_BASE[[#This Row],[IPM UNIT.
(S/.)]]*TABLA_BASE[[#This Row],[CANTIDAD
(unid.)]]</f>
        <v>0</v>
      </c>
      <c r="W34" s="284">
        <f>TABLA_BASE[[#This Row],[IGV UNIT.
(US$)
✅CF]]*'📋 Datos Generales'!$E$19</f>
        <v>0</v>
      </c>
      <c r="X34" s="284">
        <f>TABLA_BASE[[#This Row],[IGV UNIT.
(S/.)]]*TABLA_BASE[[#This Row],[CANTIDAD
(unid.)]]</f>
        <v>0</v>
      </c>
      <c r="Y34" s="284">
        <f>TABLA_BASE[[#This Row],[PERCEP.
UNIT.(US$)
✅CF]]*'📋 Datos Generales'!$E$19</f>
        <v>0</v>
      </c>
      <c r="Z34" s="284">
        <f>TABLA_BASE[[#This Row],[PERCEP.
UNIT.(S/.)]]*TABLA_BASE[[#This Row],[CANTIDAD
(unid.)]]</f>
        <v>0</v>
      </c>
      <c r="AA34" s="282">
        <f>TABLA_BASE[[#This Row],[ADV UNIT.
(US$)
⚠️COSTO]]+TABLA_BASE[[#This Row],[IPM UNIT.
(US$)
✅CF]]+TABLA_BASE[[#This Row],[IGV UNIT.
(US$)
✅CF]]+TABLA_BASE[[#This Row],[PERCEP.
UNIT.(US$)
✅CF]]</f>
        <v>0</v>
      </c>
      <c r="AB34" s="282">
        <f>TABLA_BASE[[#This Row],[TOTAL PAGO
SUNAT
UNIT.(US$)]]*TABLA_BASE[[#This Row],[CANTIDAD
(unid.)]]</f>
        <v>0</v>
      </c>
      <c r="AC34" s="284">
        <f>TABLA_BASE[[#This Row],[TOTAL PAGO
SUNAT
UNIT.(US$)]]*'📋 Datos Generales'!$E$19</f>
        <v>0</v>
      </c>
      <c r="AD34" s="284">
        <f>TABLA_BASE[[#This Row],[TOTAL TRIB.
UNIT.(S/.)]]*TABLA_BASE[[#This Row],[CANTIDAD
(unid.)]]</f>
        <v>0</v>
      </c>
      <c r="AE34" s="282">
        <f>IF('🧾 Factura Comercial'!G36=0,0,'📦 Gastos Importación'!$E$28*(IF('🧾 Tributos Aduana'!$F$6=0,0,'🧾 Factura Comercial'!I36/'🧾 Tributos Aduana'!$F$6))/'🧾 Factura Comercial'!G36)</f>
        <v>0</v>
      </c>
      <c r="AF34" s="282">
        <f>TABLA_BASE[[#This Row],[GASTOS IMP.
UNIT.(US$)]]*TABLA_BASE[[#This Row],[CANTIDAD
(unid.)]]</f>
        <v>0</v>
      </c>
      <c r="AG34" s="284">
        <f>TABLA_BASE[[#This Row],[GASTOS IMP.
UNIT.(US$)]]*'📋 Datos Generales'!$E$19</f>
        <v>0</v>
      </c>
      <c r="AH34" s="284">
        <f>TABLA_BASE[[#This Row],[GASTOS IMP.
UNIT.(S/.)]]*TABLA_BASE[[#This Row],[CANTIDAD
(unid.)]]</f>
        <v>0</v>
      </c>
      <c r="AI34" s="283">
        <f>'🧮 Costos x Producto'!J38</f>
        <v>0</v>
      </c>
      <c r="AJ34" s="282">
        <f>'🧮 Costos x Producto'!K38</f>
        <v>0</v>
      </c>
      <c r="AK34" s="282">
        <f>IF('🧾 Factura Comercial'!G36=0,0,'🧾 Tributos Aduana'!$F$17*(IF('🧾 Tributos Aduana'!$F$6=0,0,'🧾 Factura Comercial'!I36/'🧾 Tributos Aduana'!$F$6))/'🧾 Factura Comercial'!G36)</f>
        <v>0</v>
      </c>
      <c r="AL34" s="282">
        <f>IF('🧾 Factura Comercial'!G36=0,0,'🏦 Crédito Fiscal'!$C$16*(IF('🧾 Tributos Aduana'!$F$6=0,0,'🧾 Factura Comercial'!I36/'🧾 Tributos Aduana'!$F$6))/'🧾 Factura Comercial'!G36)</f>
        <v>0</v>
      </c>
      <c r="AM34" s="284">
        <f>TABLA_BASE[[#This Row],[CF UNIT.
✅RECUP.
(US$)]]*'📋 Datos Generales'!$E$19</f>
        <v>0</v>
      </c>
      <c r="AN34" s="281">
        <f>TABLA_BASE[[#This Row],[CF UNIT.
✅RECUP.(S/.)]]*TABLA_BASE[[#This Row],[CANTIDAD
(unid.)]]</f>
        <v>0</v>
      </c>
      <c r="AO34" s="298">
        <f>'💰 Precio de Venta'!G39</f>
        <v>0</v>
      </c>
      <c r="AP34" s="284">
        <f>'💰 Precio de Venta'!H39</f>
        <v>0</v>
      </c>
      <c r="AQ34" s="284">
        <f>'💰 Precio de Venta'!I39</f>
        <v>0</v>
      </c>
      <c r="AR34" s="281">
        <f>'💰 Precio de Venta'!J39</f>
        <v>0</v>
      </c>
      <c r="AS34" s="300">
        <f>'💰 Precio de Venta'!K39</f>
        <v>0</v>
      </c>
      <c r="AT34" s="281">
        <f>TABLA_BASE[[#This Row],[GANANCIA
UNIT.(S/.)]]*'🧾 Factura Comercial'!G36</f>
        <v>0</v>
      </c>
      <c r="AU34" s="280">
        <f>IF(TABLA_BASE[[#This Row],[PRECIO VTA.
c/IGV(S/.)]]=0,0,TABLA_BASE[[#This Row],[GANANCIA
UNIT.(S/.)]]/TABLA_BASE[[#This Row],[PRECIO VTA.
c/IGV(S/.)]])</f>
        <v>0</v>
      </c>
      <c r="AV34" s="280">
        <f>IF(TABLA_BASE[[#This Row],[C/M UNIT.
(S/.)]]=0,0,TABLA_BASE[[#This Row],[GANANCIA
UNIT.(S/.)]]/TABLA_BASE[[#This Row],[C/M UNIT.
(S/.)]])</f>
        <v>0</v>
      </c>
      <c r="AW34" s="277" t="str">
        <f>IF(TABLA_BASE[[#This Row],[MARGEN
%]]&gt;=0.5,"🟢 ALTO",IF(TABLA_BASE[[#This Row],[MARGEN
%]]&gt;=0.3,"🟡 MEDIO","🔴 BAJO"))</f>
        <v>🔴 BAJO</v>
      </c>
    </row>
    <row r="35" spans="1:49" ht="16.5" hidden="1" thickTop="1" thickBot="1" x14ac:dyDescent="0.3">
      <c r="A35" s="277">
        <f>'🧾 Factura Comercial'!E37</f>
        <v>0</v>
      </c>
      <c r="B35" s="277">
        <f>'🧾 Factura Comercial'!F37</f>
        <v>0</v>
      </c>
      <c r="C35" s="278">
        <f>'🧾 Factura Comercial'!G37</f>
        <v>0</v>
      </c>
      <c r="D35" s="279">
        <f>'🧾 Factura Comercial'!H37</f>
        <v>0</v>
      </c>
      <c r="E35" s="279">
        <f>'🧾 Factura Comercial'!I37</f>
        <v>0</v>
      </c>
      <c r="F35" s="280">
        <f>IF('🧾 Tributos Aduana'!$F$6=0,0,'🧾 Factura Comercial'!I37/'🧾 Tributos Aduana'!$F$6)</f>
        <v>0</v>
      </c>
      <c r="G35" s="281">
        <f>'🧾 Factura Comercial'!H37*'📋 Datos Generales'!$E$19</f>
        <v>0</v>
      </c>
      <c r="H35" s="281">
        <f>TABLA_BASE[[#This Row],[FOB UNIT.
(S/.)]]*TABLA_BASE[[#This Row],[CANTIDAD
(unid.)]]</f>
        <v>0</v>
      </c>
      <c r="I35" s="283">
        <f>IF('🧾 Tributos Aduana'!$F$6=0,0,'🧾 Tributos Aduana'!$F$17*('🧾 Factura Comercial'!H37/'🧾 Tributos Aduana'!$F$6))</f>
        <v>0</v>
      </c>
      <c r="J35" s="283">
        <f>TABLA_BASE[[#This Row],[ADV UNIT.
(US$)
⚠️COSTO]]*TABLA_BASE[[#This Row],[CANTIDAD
(unid.)]]</f>
        <v>0</v>
      </c>
      <c r="K35" s="282">
        <f>IF('🧾 Tributos Aduana'!$F$6=0,0,'🧾 Tributos Aduana'!$F$18*('🧾 Factura Comercial'!H37/'🧾 Tributos Aduana'!$F$6))</f>
        <v>0</v>
      </c>
      <c r="L35" s="283">
        <f>TABLA_BASE[[#This Row],[IPM UNIT.
(US$)
✅CF]]*TABLA_BASE[[#This Row],[CANTIDAD
(unid.)]]</f>
        <v>0</v>
      </c>
      <c r="M35" s="282">
        <f>IF('🧾 Tributos Aduana'!$F$6=0,0,'🧾 Tributos Aduana'!$F$19*('🧾 Factura Comercial'!H37/'🧾 Tributos Aduana'!$F$6))</f>
        <v>0</v>
      </c>
      <c r="N35" s="283">
        <f>TABLA_BASE[[#This Row],[IGV UNIT.
(US$)
✅CF]]*TABLA_BASE[[#This Row],[CANTIDAD
(unid.)]]</f>
        <v>0</v>
      </c>
      <c r="O35" s="283">
        <f>IF('🧾 Tributos Aduana'!$F$6=0,0,'🧾 Tributos Aduana'!$F$23*('🧾 Factura Comercial'!H37/'🧾 Tributos Aduana'!$F$6))</f>
        <v>0</v>
      </c>
      <c r="P35" s="283">
        <f>TABLA_BASE[[#This Row],[PERCEP.
UNIT.(US$)
✅CF]]*TABLA_BASE[[#This Row],[CANTIDAD
(unid.)]]</f>
        <v>0</v>
      </c>
      <c r="Q35" s="282">
        <f>TABLA_BASE[[#This Row],[ADV UNIT.
(US$)
⚠️COSTO]]+TABLA_BASE[[#This Row],[IPM UNIT.
(US$)
✅CF]]+TABLA_BASE[[#This Row],[IGV UNIT.
(US$)
✅CF]]</f>
        <v>0</v>
      </c>
      <c r="R35" s="283">
        <f>TABLA_BASE[[#This Row],[DEUDA
ADUANERA
UNIT.]]*TABLA_BASE[[#This Row],[CANTIDAD
(unid.)]]</f>
        <v>0</v>
      </c>
      <c r="S35" s="284">
        <f>TABLA_BASE[[#This Row],[ADV UNIT.
(US$)
⚠️COSTO]]*'📋 Datos Generales'!$E$19</f>
        <v>0</v>
      </c>
      <c r="T35" s="284">
        <f>TABLA_BASE[[#This Row],[ADV UNIT.
(S/.)]]*TABLA_BASE[[#This Row],[CANTIDAD
(unid.)]]</f>
        <v>0</v>
      </c>
      <c r="U35" s="284">
        <f>TABLA_BASE[[#This Row],[IPM UNIT.
(US$)
✅CF]]*'📋 Datos Generales'!$E$19</f>
        <v>0</v>
      </c>
      <c r="V35" s="284">
        <f>TABLA_BASE[[#This Row],[IPM UNIT.
(S/.)]]*TABLA_BASE[[#This Row],[CANTIDAD
(unid.)]]</f>
        <v>0</v>
      </c>
      <c r="W35" s="284">
        <f>TABLA_BASE[[#This Row],[IGV UNIT.
(US$)
✅CF]]*'📋 Datos Generales'!$E$19</f>
        <v>0</v>
      </c>
      <c r="X35" s="284">
        <f>TABLA_BASE[[#This Row],[IGV UNIT.
(S/.)]]*TABLA_BASE[[#This Row],[CANTIDAD
(unid.)]]</f>
        <v>0</v>
      </c>
      <c r="Y35" s="284">
        <f>TABLA_BASE[[#This Row],[PERCEP.
UNIT.(US$)
✅CF]]*'📋 Datos Generales'!$E$19</f>
        <v>0</v>
      </c>
      <c r="Z35" s="284">
        <f>TABLA_BASE[[#This Row],[PERCEP.
UNIT.(S/.)]]*TABLA_BASE[[#This Row],[CANTIDAD
(unid.)]]</f>
        <v>0</v>
      </c>
      <c r="AA35" s="282">
        <f>TABLA_BASE[[#This Row],[ADV UNIT.
(US$)
⚠️COSTO]]+TABLA_BASE[[#This Row],[IPM UNIT.
(US$)
✅CF]]+TABLA_BASE[[#This Row],[IGV UNIT.
(US$)
✅CF]]+TABLA_BASE[[#This Row],[PERCEP.
UNIT.(US$)
✅CF]]</f>
        <v>0</v>
      </c>
      <c r="AB35" s="282">
        <f>TABLA_BASE[[#This Row],[TOTAL PAGO
SUNAT
UNIT.(US$)]]*TABLA_BASE[[#This Row],[CANTIDAD
(unid.)]]</f>
        <v>0</v>
      </c>
      <c r="AC35" s="284">
        <f>TABLA_BASE[[#This Row],[TOTAL PAGO
SUNAT
UNIT.(US$)]]*'📋 Datos Generales'!$E$19</f>
        <v>0</v>
      </c>
      <c r="AD35" s="284">
        <f>TABLA_BASE[[#This Row],[TOTAL TRIB.
UNIT.(S/.)]]*TABLA_BASE[[#This Row],[CANTIDAD
(unid.)]]</f>
        <v>0</v>
      </c>
      <c r="AE35" s="282">
        <f>IF('🧾 Factura Comercial'!G37=0,0,'📦 Gastos Importación'!$E$28*(IF('🧾 Tributos Aduana'!$F$6=0,0,'🧾 Factura Comercial'!I37/'🧾 Tributos Aduana'!$F$6))/'🧾 Factura Comercial'!G37)</f>
        <v>0</v>
      </c>
      <c r="AF35" s="282">
        <f>TABLA_BASE[[#This Row],[GASTOS IMP.
UNIT.(US$)]]*TABLA_BASE[[#This Row],[CANTIDAD
(unid.)]]</f>
        <v>0</v>
      </c>
      <c r="AG35" s="284">
        <f>TABLA_BASE[[#This Row],[GASTOS IMP.
UNIT.(US$)]]*'📋 Datos Generales'!$E$19</f>
        <v>0</v>
      </c>
      <c r="AH35" s="284">
        <f>TABLA_BASE[[#This Row],[GASTOS IMP.
UNIT.(S/.)]]*TABLA_BASE[[#This Row],[CANTIDAD
(unid.)]]</f>
        <v>0</v>
      </c>
      <c r="AI35" s="283">
        <f>'🧮 Costos x Producto'!J39</f>
        <v>0</v>
      </c>
      <c r="AJ35" s="282">
        <f>'🧮 Costos x Producto'!K39</f>
        <v>0</v>
      </c>
      <c r="AK35" s="282">
        <f>IF('🧾 Factura Comercial'!G37=0,0,'🧾 Tributos Aduana'!$F$17*(IF('🧾 Tributos Aduana'!$F$6=0,0,'🧾 Factura Comercial'!I37/'🧾 Tributos Aduana'!$F$6))/'🧾 Factura Comercial'!G37)</f>
        <v>0</v>
      </c>
      <c r="AL35" s="282">
        <f>IF('🧾 Factura Comercial'!G37=0,0,'🏦 Crédito Fiscal'!$C$16*(IF('🧾 Tributos Aduana'!$F$6=0,0,'🧾 Factura Comercial'!I37/'🧾 Tributos Aduana'!$F$6))/'🧾 Factura Comercial'!G37)</f>
        <v>0</v>
      </c>
      <c r="AM35" s="284">
        <f>TABLA_BASE[[#This Row],[CF UNIT.
✅RECUP.
(US$)]]*'📋 Datos Generales'!$E$19</f>
        <v>0</v>
      </c>
      <c r="AN35" s="281">
        <f>TABLA_BASE[[#This Row],[CF UNIT.
✅RECUP.(S/.)]]*TABLA_BASE[[#This Row],[CANTIDAD
(unid.)]]</f>
        <v>0</v>
      </c>
      <c r="AO35" s="298">
        <f>'💰 Precio de Venta'!G40</f>
        <v>0</v>
      </c>
      <c r="AP35" s="284">
        <f>'💰 Precio de Venta'!H40</f>
        <v>0</v>
      </c>
      <c r="AQ35" s="284">
        <f>'💰 Precio de Venta'!I40</f>
        <v>0</v>
      </c>
      <c r="AR35" s="281">
        <f>'💰 Precio de Venta'!J40</f>
        <v>0</v>
      </c>
      <c r="AS35" s="300">
        <f>'💰 Precio de Venta'!K40</f>
        <v>0</v>
      </c>
      <c r="AT35" s="281">
        <f>TABLA_BASE[[#This Row],[GANANCIA
UNIT.(S/.)]]*'🧾 Factura Comercial'!G37</f>
        <v>0</v>
      </c>
      <c r="AU35" s="280">
        <f>IF(TABLA_BASE[[#This Row],[PRECIO VTA.
c/IGV(S/.)]]=0,0,TABLA_BASE[[#This Row],[GANANCIA
UNIT.(S/.)]]/TABLA_BASE[[#This Row],[PRECIO VTA.
c/IGV(S/.)]])</f>
        <v>0</v>
      </c>
      <c r="AV35" s="280">
        <f>IF(TABLA_BASE[[#This Row],[C/M UNIT.
(S/.)]]=0,0,TABLA_BASE[[#This Row],[GANANCIA
UNIT.(S/.)]]/TABLA_BASE[[#This Row],[C/M UNIT.
(S/.)]])</f>
        <v>0</v>
      </c>
      <c r="AW35" s="277" t="str">
        <f>IF(TABLA_BASE[[#This Row],[MARGEN
%]]&gt;=0.5,"🟢 ALTO",IF(TABLA_BASE[[#This Row],[MARGEN
%]]&gt;=0.3,"🟡 MEDIO","🔴 BAJO"))</f>
        <v>🔴 BAJO</v>
      </c>
    </row>
    <row r="36" spans="1:49" ht="16.5" hidden="1" thickTop="1" thickBot="1" x14ac:dyDescent="0.3">
      <c r="A36" s="277">
        <f>'🧾 Factura Comercial'!E38</f>
        <v>0</v>
      </c>
      <c r="B36" s="277">
        <f>'🧾 Factura Comercial'!F38</f>
        <v>0</v>
      </c>
      <c r="C36" s="278">
        <f>'🧾 Factura Comercial'!G38</f>
        <v>0</v>
      </c>
      <c r="D36" s="279">
        <f>'🧾 Factura Comercial'!H38</f>
        <v>0</v>
      </c>
      <c r="E36" s="279">
        <f>'🧾 Factura Comercial'!I38</f>
        <v>0</v>
      </c>
      <c r="F36" s="280">
        <f>IF('🧾 Tributos Aduana'!$F$6=0,0,'🧾 Factura Comercial'!I38/'🧾 Tributos Aduana'!$F$6)</f>
        <v>0</v>
      </c>
      <c r="G36" s="281">
        <f>'🧾 Factura Comercial'!H38*'📋 Datos Generales'!$E$19</f>
        <v>0</v>
      </c>
      <c r="H36" s="281">
        <f>TABLA_BASE[[#This Row],[FOB UNIT.
(S/.)]]*TABLA_BASE[[#This Row],[CANTIDAD
(unid.)]]</f>
        <v>0</v>
      </c>
      <c r="I36" s="283">
        <f>IF('🧾 Tributos Aduana'!$F$6=0,0,'🧾 Tributos Aduana'!$F$17*('🧾 Factura Comercial'!H38/'🧾 Tributos Aduana'!$F$6))</f>
        <v>0</v>
      </c>
      <c r="J36" s="283">
        <f>TABLA_BASE[[#This Row],[ADV UNIT.
(US$)
⚠️COSTO]]*TABLA_BASE[[#This Row],[CANTIDAD
(unid.)]]</f>
        <v>0</v>
      </c>
      <c r="K36" s="282">
        <f>IF('🧾 Tributos Aduana'!$F$6=0,0,'🧾 Tributos Aduana'!$F$18*('🧾 Factura Comercial'!H38/'🧾 Tributos Aduana'!$F$6))</f>
        <v>0</v>
      </c>
      <c r="L36" s="283">
        <f>TABLA_BASE[[#This Row],[IPM UNIT.
(US$)
✅CF]]*TABLA_BASE[[#This Row],[CANTIDAD
(unid.)]]</f>
        <v>0</v>
      </c>
      <c r="M36" s="282">
        <f>IF('🧾 Tributos Aduana'!$F$6=0,0,'🧾 Tributos Aduana'!$F$19*('🧾 Factura Comercial'!H38/'🧾 Tributos Aduana'!$F$6))</f>
        <v>0</v>
      </c>
      <c r="N36" s="283">
        <f>TABLA_BASE[[#This Row],[IGV UNIT.
(US$)
✅CF]]*TABLA_BASE[[#This Row],[CANTIDAD
(unid.)]]</f>
        <v>0</v>
      </c>
      <c r="O36" s="283">
        <f>IF('🧾 Tributos Aduana'!$F$6=0,0,'🧾 Tributos Aduana'!$F$23*('🧾 Factura Comercial'!H38/'🧾 Tributos Aduana'!$F$6))</f>
        <v>0</v>
      </c>
      <c r="P36" s="283">
        <f>TABLA_BASE[[#This Row],[PERCEP.
UNIT.(US$)
✅CF]]*TABLA_BASE[[#This Row],[CANTIDAD
(unid.)]]</f>
        <v>0</v>
      </c>
      <c r="Q36" s="282">
        <f>TABLA_BASE[[#This Row],[ADV UNIT.
(US$)
⚠️COSTO]]+TABLA_BASE[[#This Row],[IPM UNIT.
(US$)
✅CF]]+TABLA_BASE[[#This Row],[IGV UNIT.
(US$)
✅CF]]</f>
        <v>0</v>
      </c>
      <c r="R36" s="283">
        <f>TABLA_BASE[[#This Row],[DEUDA
ADUANERA
UNIT.]]*TABLA_BASE[[#This Row],[CANTIDAD
(unid.)]]</f>
        <v>0</v>
      </c>
      <c r="S36" s="284">
        <f>TABLA_BASE[[#This Row],[ADV UNIT.
(US$)
⚠️COSTO]]*'📋 Datos Generales'!$E$19</f>
        <v>0</v>
      </c>
      <c r="T36" s="284">
        <f>TABLA_BASE[[#This Row],[ADV UNIT.
(S/.)]]*TABLA_BASE[[#This Row],[CANTIDAD
(unid.)]]</f>
        <v>0</v>
      </c>
      <c r="U36" s="284">
        <f>TABLA_BASE[[#This Row],[IPM UNIT.
(US$)
✅CF]]*'📋 Datos Generales'!$E$19</f>
        <v>0</v>
      </c>
      <c r="V36" s="284">
        <f>TABLA_BASE[[#This Row],[IPM UNIT.
(S/.)]]*TABLA_BASE[[#This Row],[CANTIDAD
(unid.)]]</f>
        <v>0</v>
      </c>
      <c r="W36" s="284">
        <f>TABLA_BASE[[#This Row],[IGV UNIT.
(US$)
✅CF]]*'📋 Datos Generales'!$E$19</f>
        <v>0</v>
      </c>
      <c r="X36" s="284">
        <f>TABLA_BASE[[#This Row],[IGV UNIT.
(S/.)]]*TABLA_BASE[[#This Row],[CANTIDAD
(unid.)]]</f>
        <v>0</v>
      </c>
      <c r="Y36" s="284">
        <f>TABLA_BASE[[#This Row],[PERCEP.
UNIT.(US$)
✅CF]]*'📋 Datos Generales'!$E$19</f>
        <v>0</v>
      </c>
      <c r="Z36" s="284">
        <f>TABLA_BASE[[#This Row],[PERCEP.
UNIT.(S/.)]]*TABLA_BASE[[#This Row],[CANTIDAD
(unid.)]]</f>
        <v>0</v>
      </c>
      <c r="AA36" s="282">
        <f>TABLA_BASE[[#This Row],[ADV UNIT.
(US$)
⚠️COSTO]]+TABLA_BASE[[#This Row],[IPM UNIT.
(US$)
✅CF]]+TABLA_BASE[[#This Row],[IGV UNIT.
(US$)
✅CF]]+TABLA_BASE[[#This Row],[PERCEP.
UNIT.(US$)
✅CF]]</f>
        <v>0</v>
      </c>
      <c r="AB36" s="282">
        <f>TABLA_BASE[[#This Row],[TOTAL PAGO
SUNAT
UNIT.(US$)]]*TABLA_BASE[[#This Row],[CANTIDAD
(unid.)]]</f>
        <v>0</v>
      </c>
      <c r="AC36" s="284">
        <f>TABLA_BASE[[#This Row],[TOTAL PAGO
SUNAT
UNIT.(US$)]]*'📋 Datos Generales'!$E$19</f>
        <v>0</v>
      </c>
      <c r="AD36" s="284">
        <f>TABLA_BASE[[#This Row],[TOTAL TRIB.
UNIT.(S/.)]]*TABLA_BASE[[#This Row],[CANTIDAD
(unid.)]]</f>
        <v>0</v>
      </c>
      <c r="AE36" s="282">
        <f>IF('🧾 Factura Comercial'!G38=0,0,'📦 Gastos Importación'!$E$28*(IF('🧾 Tributos Aduana'!$F$6=0,0,'🧾 Factura Comercial'!I38/'🧾 Tributos Aduana'!$F$6))/'🧾 Factura Comercial'!G38)</f>
        <v>0</v>
      </c>
      <c r="AF36" s="282">
        <f>TABLA_BASE[[#This Row],[GASTOS IMP.
UNIT.(US$)]]*TABLA_BASE[[#This Row],[CANTIDAD
(unid.)]]</f>
        <v>0</v>
      </c>
      <c r="AG36" s="284">
        <f>TABLA_BASE[[#This Row],[GASTOS IMP.
UNIT.(US$)]]*'📋 Datos Generales'!$E$19</f>
        <v>0</v>
      </c>
      <c r="AH36" s="284">
        <f>TABLA_BASE[[#This Row],[GASTOS IMP.
UNIT.(S/.)]]*TABLA_BASE[[#This Row],[CANTIDAD
(unid.)]]</f>
        <v>0</v>
      </c>
      <c r="AI36" s="283">
        <f>'🧮 Costos x Producto'!J40</f>
        <v>0</v>
      </c>
      <c r="AJ36" s="282">
        <f>'🧮 Costos x Producto'!K40</f>
        <v>0</v>
      </c>
      <c r="AK36" s="282">
        <f>IF('🧾 Factura Comercial'!G38=0,0,'🧾 Tributos Aduana'!$F$17*(IF('🧾 Tributos Aduana'!$F$6=0,0,'🧾 Factura Comercial'!I38/'🧾 Tributos Aduana'!$F$6))/'🧾 Factura Comercial'!G38)</f>
        <v>0</v>
      </c>
      <c r="AL36" s="282">
        <f>IF('🧾 Factura Comercial'!G38=0,0,'🏦 Crédito Fiscal'!$C$16*(IF('🧾 Tributos Aduana'!$F$6=0,0,'🧾 Factura Comercial'!I38/'🧾 Tributos Aduana'!$F$6))/'🧾 Factura Comercial'!G38)</f>
        <v>0</v>
      </c>
      <c r="AM36" s="284">
        <f>TABLA_BASE[[#This Row],[CF UNIT.
✅RECUP.
(US$)]]*'📋 Datos Generales'!$E$19</f>
        <v>0</v>
      </c>
      <c r="AN36" s="281">
        <f>TABLA_BASE[[#This Row],[CF UNIT.
✅RECUP.(S/.)]]*TABLA_BASE[[#This Row],[CANTIDAD
(unid.)]]</f>
        <v>0</v>
      </c>
      <c r="AO36" s="298">
        <f>'💰 Precio de Venta'!G41</f>
        <v>0</v>
      </c>
      <c r="AP36" s="284">
        <f>'💰 Precio de Venta'!H41</f>
        <v>0</v>
      </c>
      <c r="AQ36" s="284">
        <f>'💰 Precio de Venta'!I41</f>
        <v>0</v>
      </c>
      <c r="AR36" s="281">
        <f>'💰 Precio de Venta'!J41</f>
        <v>0</v>
      </c>
      <c r="AS36" s="300">
        <f>'💰 Precio de Venta'!K41</f>
        <v>0</v>
      </c>
      <c r="AT36" s="281">
        <f>TABLA_BASE[[#This Row],[GANANCIA
UNIT.(S/.)]]*'🧾 Factura Comercial'!G38</f>
        <v>0</v>
      </c>
      <c r="AU36" s="280">
        <f>IF(TABLA_BASE[[#This Row],[PRECIO VTA.
c/IGV(S/.)]]=0,0,TABLA_BASE[[#This Row],[GANANCIA
UNIT.(S/.)]]/TABLA_BASE[[#This Row],[PRECIO VTA.
c/IGV(S/.)]])</f>
        <v>0</v>
      </c>
      <c r="AV36" s="280">
        <f>IF(TABLA_BASE[[#This Row],[C/M UNIT.
(S/.)]]=0,0,TABLA_BASE[[#This Row],[GANANCIA
UNIT.(S/.)]]/TABLA_BASE[[#This Row],[C/M UNIT.
(S/.)]])</f>
        <v>0</v>
      </c>
      <c r="AW36" s="277" t="str">
        <f>IF(TABLA_BASE[[#This Row],[MARGEN
%]]&gt;=0.5,"🟢 ALTO",IF(TABLA_BASE[[#This Row],[MARGEN
%]]&gt;=0.3,"🟡 MEDIO","🔴 BAJO"))</f>
        <v>🔴 BAJO</v>
      </c>
    </row>
    <row r="37" spans="1:49" ht="16.5" hidden="1" thickTop="1" thickBot="1" x14ac:dyDescent="0.3">
      <c r="A37" s="277">
        <f>'🧾 Factura Comercial'!E39</f>
        <v>0</v>
      </c>
      <c r="B37" s="277">
        <f>'🧾 Factura Comercial'!F39</f>
        <v>0</v>
      </c>
      <c r="C37" s="278">
        <f>'🧾 Factura Comercial'!G39</f>
        <v>0</v>
      </c>
      <c r="D37" s="279">
        <f>'🧾 Factura Comercial'!H39</f>
        <v>0</v>
      </c>
      <c r="E37" s="279">
        <f>'🧾 Factura Comercial'!I39</f>
        <v>0</v>
      </c>
      <c r="F37" s="280">
        <f>IF('🧾 Tributos Aduana'!$F$6=0,0,'🧾 Factura Comercial'!I39/'🧾 Tributos Aduana'!$F$6)</f>
        <v>0</v>
      </c>
      <c r="G37" s="281">
        <f>'🧾 Factura Comercial'!H39*'📋 Datos Generales'!$E$19</f>
        <v>0</v>
      </c>
      <c r="H37" s="281">
        <f>TABLA_BASE[[#This Row],[FOB UNIT.
(S/.)]]*TABLA_BASE[[#This Row],[CANTIDAD
(unid.)]]</f>
        <v>0</v>
      </c>
      <c r="I37" s="283">
        <f>IF('🧾 Tributos Aduana'!$F$6=0,0,'🧾 Tributos Aduana'!$F$17*('🧾 Factura Comercial'!H39/'🧾 Tributos Aduana'!$F$6))</f>
        <v>0</v>
      </c>
      <c r="J37" s="283">
        <f>TABLA_BASE[[#This Row],[ADV UNIT.
(US$)
⚠️COSTO]]*TABLA_BASE[[#This Row],[CANTIDAD
(unid.)]]</f>
        <v>0</v>
      </c>
      <c r="K37" s="282">
        <f>IF('🧾 Tributos Aduana'!$F$6=0,0,'🧾 Tributos Aduana'!$F$18*('🧾 Factura Comercial'!H39/'🧾 Tributos Aduana'!$F$6))</f>
        <v>0</v>
      </c>
      <c r="L37" s="283">
        <f>TABLA_BASE[[#This Row],[IPM UNIT.
(US$)
✅CF]]*TABLA_BASE[[#This Row],[CANTIDAD
(unid.)]]</f>
        <v>0</v>
      </c>
      <c r="M37" s="282">
        <f>IF('🧾 Tributos Aduana'!$F$6=0,0,'🧾 Tributos Aduana'!$F$19*('🧾 Factura Comercial'!H39/'🧾 Tributos Aduana'!$F$6))</f>
        <v>0</v>
      </c>
      <c r="N37" s="283">
        <f>TABLA_BASE[[#This Row],[IGV UNIT.
(US$)
✅CF]]*TABLA_BASE[[#This Row],[CANTIDAD
(unid.)]]</f>
        <v>0</v>
      </c>
      <c r="O37" s="283">
        <f>IF('🧾 Tributos Aduana'!$F$6=0,0,'🧾 Tributos Aduana'!$F$23*('🧾 Factura Comercial'!H39/'🧾 Tributos Aduana'!$F$6))</f>
        <v>0</v>
      </c>
      <c r="P37" s="283">
        <f>TABLA_BASE[[#This Row],[PERCEP.
UNIT.(US$)
✅CF]]*TABLA_BASE[[#This Row],[CANTIDAD
(unid.)]]</f>
        <v>0</v>
      </c>
      <c r="Q37" s="282">
        <f>TABLA_BASE[[#This Row],[ADV UNIT.
(US$)
⚠️COSTO]]+TABLA_BASE[[#This Row],[IPM UNIT.
(US$)
✅CF]]+TABLA_BASE[[#This Row],[IGV UNIT.
(US$)
✅CF]]</f>
        <v>0</v>
      </c>
      <c r="R37" s="283">
        <f>TABLA_BASE[[#This Row],[DEUDA
ADUANERA
UNIT.]]*TABLA_BASE[[#This Row],[CANTIDAD
(unid.)]]</f>
        <v>0</v>
      </c>
      <c r="S37" s="284">
        <f>TABLA_BASE[[#This Row],[ADV UNIT.
(US$)
⚠️COSTO]]*'📋 Datos Generales'!$E$19</f>
        <v>0</v>
      </c>
      <c r="T37" s="284">
        <f>TABLA_BASE[[#This Row],[ADV UNIT.
(S/.)]]*TABLA_BASE[[#This Row],[CANTIDAD
(unid.)]]</f>
        <v>0</v>
      </c>
      <c r="U37" s="284">
        <f>TABLA_BASE[[#This Row],[IPM UNIT.
(US$)
✅CF]]*'📋 Datos Generales'!$E$19</f>
        <v>0</v>
      </c>
      <c r="V37" s="284">
        <f>TABLA_BASE[[#This Row],[IPM UNIT.
(S/.)]]*TABLA_BASE[[#This Row],[CANTIDAD
(unid.)]]</f>
        <v>0</v>
      </c>
      <c r="W37" s="284">
        <f>TABLA_BASE[[#This Row],[IGV UNIT.
(US$)
✅CF]]*'📋 Datos Generales'!$E$19</f>
        <v>0</v>
      </c>
      <c r="X37" s="284">
        <f>TABLA_BASE[[#This Row],[IGV UNIT.
(S/.)]]*TABLA_BASE[[#This Row],[CANTIDAD
(unid.)]]</f>
        <v>0</v>
      </c>
      <c r="Y37" s="284">
        <f>TABLA_BASE[[#This Row],[PERCEP.
UNIT.(US$)
✅CF]]*'📋 Datos Generales'!$E$19</f>
        <v>0</v>
      </c>
      <c r="Z37" s="284">
        <f>TABLA_BASE[[#This Row],[PERCEP.
UNIT.(S/.)]]*TABLA_BASE[[#This Row],[CANTIDAD
(unid.)]]</f>
        <v>0</v>
      </c>
      <c r="AA37" s="282">
        <f>TABLA_BASE[[#This Row],[ADV UNIT.
(US$)
⚠️COSTO]]+TABLA_BASE[[#This Row],[IPM UNIT.
(US$)
✅CF]]+TABLA_BASE[[#This Row],[IGV UNIT.
(US$)
✅CF]]+TABLA_BASE[[#This Row],[PERCEP.
UNIT.(US$)
✅CF]]</f>
        <v>0</v>
      </c>
      <c r="AB37" s="282">
        <f>TABLA_BASE[[#This Row],[TOTAL PAGO
SUNAT
UNIT.(US$)]]*TABLA_BASE[[#This Row],[CANTIDAD
(unid.)]]</f>
        <v>0</v>
      </c>
      <c r="AC37" s="284">
        <f>TABLA_BASE[[#This Row],[TOTAL PAGO
SUNAT
UNIT.(US$)]]*'📋 Datos Generales'!$E$19</f>
        <v>0</v>
      </c>
      <c r="AD37" s="284">
        <f>TABLA_BASE[[#This Row],[TOTAL TRIB.
UNIT.(S/.)]]*TABLA_BASE[[#This Row],[CANTIDAD
(unid.)]]</f>
        <v>0</v>
      </c>
      <c r="AE37" s="282">
        <f>IF('🧾 Factura Comercial'!G39=0,0,'📦 Gastos Importación'!$E$28*(IF('🧾 Tributos Aduana'!$F$6=0,0,'🧾 Factura Comercial'!I39/'🧾 Tributos Aduana'!$F$6))/'🧾 Factura Comercial'!G39)</f>
        <v>0</v>
      </c>
      <c r="AF37" s="282">
        <f>TABLA_BASE[[#This Row],[GASTOS IMP.
UNIT.(US$)]]*TABLA_BASE[[#This Row],[CANTIDAD
(unid.)]]</f>
        <v>0</v>
      </c>
      <c r="AG37" s="284">
        <f>TABLA_BASE[[#This Row],[GASTOS IMP.
UNIT.(US$)]]*'📋 Datos Generales'!$E$19</f>
        <v>0</v>
      </c>
      <c r="AH37" s="284">
        <f>TABLA_BASE[[#This Row],[GASTOS IMP.
UNIT.(S/.)]]*TABLA_BASE[[#This Row],[CANTIDAD
(unid.)]]</f>
        <v>0</v>
      </c>
      <c r="AI37" s="283">
        <f>'🧮 Costos x Producto'!J41</f>
        <v>0</v>
      </c>
      <c r="AJ37" s="282">
        <f>'🧮 Costos x Producto'!K41</f>
        <v>0</v>
      </c>
      <c r="AK37" s="282">
        <f>IF('🧾 Factura Comercial'!G39=0,0,'🧾 Tributos Aduana'!$F$17*(IF('🧾 Tributos Aduana'!$F$6=0,0,'🧾 Factura Comercial'!I39/'🧾 Tributos Aduana'!$F$6))/'🧾 Factura Comercial'!G39)</f>
        <v>0</v>
      </c>
      <c r="AL37" s="282">
        <f>IF('🧾 Factura Comercial'!G39=0,0,'🏦 Crédito Fiscal'!$C$16*(IF('🧾 Tributos Aduana'!$F$6=0,0,'🧾 Factura Comercial'!I39/'🧾 Tributos Aduana'!$F$6))/'🧾 Factura Comercial'!G39)</f>
        <v>0</v>
      </c>
      <c r="AM37" s="284">
        <f>TABLA_BASE[[#This Row],[CF UNIT.
✅RECUP.
(US$)]]*'📋 Datos Generales'!$E$19</f>
        <v>0</v>
      </c>
      <c r="AN37" s="281">
        <f>TABLA_BASE[[#This Row],[CF UNIT.
✅RECUP.(S/.)]]*TABLA_BASE[[#This Row],[CANTIDAD
(unid.)]]</f>
        <v>0</v>
      </c>
      <c r="AO37" s="298">
        <f>'💰 Precio de Venta'!G42</f>
        <v>0</v>
      </c>
      <c r="AP37" s="284">
        <f>'💰 Precio de Venta'!H42</f>
        <v>0</v>
      </c>
      <c r="AQ37" s="284">
        <f>'💰 Precio de Venta'!I42</f>
        <v>0</v>
      </c>
      <c r="AR37" s="281">
        <f>'💰 Precio de Venta'!J42</f>
        <v>0</v>
      </c>
      <c r="AS37" s="300">
        <f>'💰 Precio de Venta'!K42</f>
        <v>0</v>
      </c>
      <c r="AT37" s="281">
        <f>TABLA_BASE[[#This Row],[GANANCIA
UNIT.(S/.)]]*'🧾 Factura Comercial'!G39</f>
        <v>0</v>
      </c>
      <c r="AU37" s="280">
        <f>IF(TABLA_BASE[[#This Row],[PRECIO VTA.
c/IGV(S/.)]]=0,0,TABLA_BASE[[#This Row],[GANANCIA
UNIT.(S/.)]]/TABLA_BASE[[#This Row],[PRECIO VTA.
c/IGV(S/.)]])</f>
        <v>0</v>
      </c>
      <c r="AV37" s="280">
        <f>IF(TABLA_BASE[[#This Row],[C/M UNIT.
(S/.)]]=0,0,TABLA_BASE[[#This Row],[GANANCIA
UNIT.(S/.)]]/TABLA_BASE[[#This Row],[C/M UNIT.
(S/.)]])</f>
        <v>0</v>
      </c>
      <c r="AW37" s="277" t="str">
        <f>IF(TABLA_BASE[[#This Row],[MARGEN
%]]&gt;=0.5,"🟢 ALTO",IF(TABLA_BASE[[#This Row],[MARGEN
%]]&gt;=0.3,"🟡 MEDIO","🔴 BAJO"))</f>
        <v>🔴 BAJO</v>
      </c>
    </row>
    <row r="38" spans="1:49" ht="16.5" hidden="1" thickTop="1" thickBot="1" x14ac:dyDescent="0.3">
      <c r="A38" s="277">
        <f>'🧾 Factura Comercial'!E40</f>
        <v>0</v>
      </c>
      <c r="B38" s="277">
        <f>'🧾 Factura Comercial'!F40</f>
        <v>0</v>
      </c>
      <c r="C38" s="278">
        <f>'🧾 Factura Comercial'!G40</f>
        <v>0</v>
      </c>
      <c r="D38" s="279">
        <f>'🧾 Factura Comercial'!H40</f>
        <v>0</v>
      </c>
      <c r="E38" s="279">
        <f>'🧾 Factura Comercial'!I40</f>
        <v>0</v>
      </c>
      <c r="F38" s="280">
        <f>IF('🧾 Tributos Aduana'!$F$6=0,0,'🧾 Factura Comercial'!I40/'🧾 Tributos Aduana'!$F$6)</f>
        <v>0</v>
      </c>
      <c r="G38" s="281">
        <f>'🧾 Factura Comercial'!H40*'📋 Datos Generales'!$E$19</f>
        <v>0</v>
      </c>
      <c r="H38" s="281">
        <f>TABLA_BASE[[#This Row],[FOB UNIT.
(S/.)]]*TABLA_BASE[[#This Row],[CANTIDAD
(unid.)]]</f>
        <v>0</v>
      </c>
      <c r="I38" s="283">
        <f>IF('🧾 Tributos Aduana'!$F$6=0,0,'🧾 Tributos Aduana'!$F$17*('🧾 Factura Comercial'!H40/'🧾 Tributos Aduana'!$F$6))</f>
        <v>0</v>
      </c>
      <c r="J38" s="283">
        <f>TABLA_BASE[[#This Row],[ADV UNIT.
(US$)
⚠️COSTO]]*TABLA_BASE[[#This Row],[CANTIDAD
(unid.)]]</f>
        <v>0</v>
      </c>
      <c r="K38" s="282">
        <f>IF('🧾 Tributos Aduana'!$F$6=0,0,'🧾 Tributos Aduana'!$F$18*('🧾 Factura Comercial'!H40/'🧾 Tributos Aduana'!$F$6))</f>
        <v>0</v>
      </c>
      <c r="L38" s="283">
        <f>TABLA_BASE[[#This Row],[IPM UNIT.
(US$)
✅CF]]*TABLA_BASE[[#This Row],[CANTIDAD
(unid.)]]</f>
        <v>0</v>
      </c>
      <c r="M38" s="282">
        <f>IF('🧾 Tributos Aduana'!$F$6=0,0,'🧾 Tributos Aduana'!$F$19*('🧾 Factura Comercial'!H40/'🧾 Tributos Aduana'!$F$6))</f>
        <v>0</v>
      </c>
      <c r="N38" s="283">
        <f>TABLA_BASE[[#This Row],[IGV UNIT.
(US$)
✅CF]]*TABLA_BASE[[#This Row],[CANTIDAD
(unid.)]]</f>
        <v>0</v>
      </c>
      <c r="O38" s="283">
        <f>IF('🧾 Tributos Aduana'!$F$6=0,0,'🧾 Tributos Aduana'!$F$23*('🧾 Factura Comercial'!H40/'🧾 Tributos Aduana'!$F$6))</f>
        <v>0</v>
      </c>
      <c r="P38" s="283">
        <f>TABLA_BASE[[#This Row],[PERCEP.
UNIT.(US$)
✅CF]]*TABLA_BASE[[#This Row],[CANTIDAD
(unid.)]]</f>
        <v>0</v>
      </c>
      <c r="Q38" s="282">
        <f>TABLA_BASE[[#This Row],[ADV UNIT.
(US$)
⚠️COSTO]]+TABLA_BASE[[#This Row],[IPM UNIT.
(US$)
✅CF]]+TABLA_BASE[[#This Row],[IGV UNIT.
(US$)
✅CF]]</f>
        <v>0</v>
      </c>
      <c r="R38" s="283">
        <f>TABLA_BASE[[#This Row],[DEUDA
ADUANERA
UNIT.]]*TABLA_BASE[[#This Row],[CANTIDAD
(unid.)]]</f>
        <v>0</v>
      </c>
      <c r="S38" s="284">
        <f>TABLA_BASE[[#This Row],[ADV UNIT.
(US$)
⚠️COSTO]]*'📋 Datos Generales'!$E$19</f>
        <v>0</v>
      </c>
      <c r="T38" s="284">
        <f>TABLA_BASE[[#This Row],[ADV UNIT.
(S/.)]]*TABLA_BASE[[#This Row],[CANTIDAD
(unid.)]]</f>
        <v>0</v>
      </c>
      <c r="U38" s="284">
        <f>TABLA_BASE[[#This Row],[IPM UNIT.
(US$)
✅CF]]*'📋 Datos Generales'!$E$19</f>
        <v>0</v>
      </c>
      <c r="V38" s="284">
        <f>TABLA_BASE[[#This Row],[IPM UNIT.
(S/.)]]*TABLA_BASE[[#This Row],[CANTIDAD
(unid.)]]</f>
        <v>0</v>
      </c>
      <c r="W38" s="284">
        <f>TABLA_BASE[[#This Row],[IGV UNIT.
(US$)
✅CF]]*'📋 Datos Generales'!$E$19</f>
        <v>0</v>
      </c>
      <c r="X38" s="284">
        <f>TABLA_BASE[[#This Row],[IGV UNIT.
(S/.)]]*TABLA_BASE[[#This Row],[CANTIDAD
(unid.)]]</f>
        <v>0</v>
      </c>
      <c r="Y38" s="284">
        <f>TABLA_BASE[[#This Row],[PERCEP.
UNIT.(US$)
✅CF]]*'📋 Datos Generales'!$E$19</f>
        <v>0</v>
      </c>
      <c r="Z38" s="284">
        <f>TABLA_BASE[[#This Row],[PERCEP.
UNIT.(S/.)]]*TABLA_BASE[[#This Row],[CANTIDAD
(unid.)]]</f>
        <v>0</v>
      </c>
      <c r="AA38" s="282">
        <f>TABLA_BASE[[#This Row],[ADV UNIT.
(US$)
⚠️COSTO]]+TABLA_BASE[[#This Row],[IPM UNIT.
(US$)
✅CF]]+TABLA_BASE[[#This Row],[IGV UNIT.
(US$)
✅CF]]+TABLA_BASE[[#This Row],[PERCEP.
UNIT.(US$)
✅CF]]</f>
        <v>0</v>
      </c>
      <c r="AB38" s="282">
        <f>TABLA_BASE[[#This Row],[TOTAL PAGO
SUNAT
UNIT.(US$)]]*TABLA_BASE[[#This Row],[CANTIDAD
(unid.)]]</f>
        <v>0</v>
      </c>
      <c r="AC38" s="284">
        <f>TABLA_BASE[[#This Row],[TOTAL PAGO
SUNAT
UNIT.(US$)]]*'📋 Datos Generales'!$E$19</f>
        <v>0</v>
      </c>
      <c r="AD38" s="284">
        <f>TABLA_BASE[[#This Row],[TOTAL TRIB.
UNIT.(S/.)]]*TABLA_BASE[[#This Row],[CANTIDAD
(unid.)]]</f>
        <v>0</v>
      </c>
      <c r="AE38" s="282">
        <f>IF('🧾 Factura Comercial'!G40=0,0,'📦 Gastos Importación'!$E$28*(IF('🧾 Tributos Aduana'!$F$6=0,0,'🧾 Factura Comercial'!I40/'🧾 Tributos Aduana'!$F$6))/'🧾 Factura Comercial'!G40)</f>
        <v>0</v>
      </c>
      <c r="AF38" s="282">
        <f>TABLA_BASE[[#This Row],[GASTOS IMP.
UNIT.(US$)]]*TABLA_BASE[[#This Row],[CANTIDAD
(unid.)]]</f>
        <v>0</v>
      </c>
      <c r="AG38" s="284">
        <f>TABLA_BASE[[#This Row],[GASTOS IMP.
UNIT.(US$)]]*'📋 Datos Generales'!$E$19</f>
        <v>0</v>
      </c>
      <c r="AH38" s="284">
        <f>TABLA_BASE[[#This Row],[GASTOS IMP.
UNIT.(S/.)]]*TABLA_BASE[[#This Row],[CANTIDAD
(unid.)]]</f>
        <v>0</v>
      </c>
      <c r="AI38" s="283">
        <f>'🧮 Costos x Producto'!J42</f>
        <v>0</v>
      </c>
      <c r="AJ38" s="282">
        <f>'🧮 Costos x Producto'!K42</f>
        <v>0</v>
      </c>
      <c r="AK38" s="282">
        <f>IF('🧾 Factura Comercial'!G40=0,0,'🧾 Tributos Aduana'!$F$17*(IF('🧾 Tributos Aduana'!$F$6=0,0,'🧾 Factura Comercial'!I40/'🧾 Tributos Aduana'!$F$6))/'🧾 Factura Comercial'!G40)</f>
        <v>0</v>
      </c>
      <c r="AL38" s="282">
        <f>IF('🧾 Factura Comercial'!G40=0,0,'🏦 Crédito Fiscal'!$C$16*(IF('🧾 Tributos Aduana'!$F$6=0,0,'🧾 Factura Comercial'!I40/'🧾 Tributos Aduana'!$F$6))/'🧾 Factura Comercial'!G40)</f>
        <v>0</v>
      </c>
      <c r="AM38" s="284">
        <f>TABLA_BASE[[#This Row],[CF UNIT.
✅RECUP.
(US$)]]*'📋 Datos Generales'!$E$19</f>
        <v>0</v>
      </c>
      <c r="AN38" s="281">
        <f>TABLA_BASE[[#This Row],[CF UNIT.
✅RECUP.(S/.)]]*TABLA_BASE[[#This Row],[CANTIDAD
(unid.)]]</f>
        <v>0</v>
      </c>
      <c r="AO38" s="298">
        <f>'💰 Precio de Venta'!G43</f>
        <v>0</v>
      </c>
      <c r="AP38" s="284">
        <f>'💰 Precio de Venta'!H43</f>
        <v>0</v>
      </c>
      <c r="AQ38" s="284">
        <f>'💰 Precio de Venta'!I43</f>
        <v>0</v>
      </c>
      <c r="AR38" s="281">
        <f>'💰 Precio de Venta'!J43</f>
        <v>0</v>
      </c>
      <c r="AS38" s="300">
        <f>'💰 Precio de Venta'!K43</f>
        <v>0</v>
      </c>
      <c r="AT38" s="281">
        <f>TABLA_BASE[[#This Row],[GANANCIA
UNIT.(S/.)]]*'🧾 Factura Comercial'!G40</f>
        <v>0</v>
      </c>
      <c r="AU38" s="280">
        <f>IF(TABLA_BASE[[#This Row],[PRECIO VTA.
c/IGV(S/.)]]=0,0,TABLA_BASE[[#This Row],[GANANCIA
UNIT.(S/.)]]/TABLA_BASE[[#This Row],[PRECIO VTA.
c/IGV(S/.)]])</f>
        <v>0</v>
      </c>
      <c r="AV38" s="280">
        <f>IF(TABLA_BASE[[#This Row],[C/M UNIT.
(S/.)]]=0,0,TABLA_BASE[[#This Row],[GANANCIA
UNIT.(S/.)]]/TABLA_BASE[[#This Row],[C/M UNIT.
(S/.)]])</f>
        <v>0</v>
      </c>
      <c r="AW38" s="277" t="str">
        <f>IF(TABLA_BASE[[#This Row],[MARGEN
%]]&gt;=0.5,"🟢 ALTO",IF(TABLA_BASE[[#This Row],[MARGEN
%]]&gt;=0.3,"🟡 MEDIO","🔴 BAJO"))</f>
        <v>🔴 BAJO</v>
      </c>
    </row>
    <row r="39" spans="1:49" ht="16.5" hidden="1" thickTop="1" thickBot="1" x14ac:dyDescent="0.3">
      <c r="A39" s="277">
        <f>'🧾 Factura Comercial'!E41</f>
        <v>0</v>
      </c>
      <c r="B39" s="277">
        <f>'🧾 Factura Comercial'!F41</f>
        <v>0</v>
      </c>
      <c r="C39" s="278">
        <f>'🧾 Factura Comercial'!G41</f>
        <v>0</v>
      </c>
      <c r="D39" s="279">
        <f>'🧾 Factura Comercial'!H41</f>
        <v>0</v>
      </c>
      <c r="E39" s="279">
        <f>'🧾 Factura Comercial'!I41</f>
        <v>0</v>
      </c>
      <c r="F39" s="280">
        <f>IF('🧾 Tributos Aduana'!$F$6=0,0,'🧾 Factura Comercial'!I41/'🧾 Tributos Aduana'!$F$6)</f>
        <v>0</v>
      </c>
      <c r="G39" s="281">
        <f>'🧾 Factura Comercial'!H41*'📋 Datos Generales'!$E$19</f>
        <v>0</v>
      </c>
      <c r="H39" s="281">
        <f>TABLA_BASE[[#This Row],[FOB UNIT.
(S/.)]]*TABLA_BASE[[#This Row],[CANTIDAD
(unid.)]]</f>
        <v>0</v>
      </c>
      <c r="I39" s="283">
        <f>IF('🧾 Tributos Aduana'!$F$6=0,0,'🧾 Tributos Aduana'!$F$17*('🧾 Factura Comercial'!H41/'🧾 Tributos Aduana'!$F$6))</f>
        <v>0</v>
      </c>
      <c r="J39" s="283">
        <f>TABLA_BASE[[#This Row],[ADV UNIT.
(US$)
⚠️COSTO]]*TABLA_BASE[[#This Row],[CANTIDAD
(unid.)]]</f>
        <v>0</v>
      </c>
      <c r="K39" s="282">
        <f>IF('🧾 Tributos Aduana'!$F$6=0,0,'🧾 Tributos Aduana'!$F$18*('🧾 Factura Comercial'!H41/'🧾 Tributos Aduana'!$F$6))</f>
        <v>0</v>
      </c>
      <c r="L39" s="283">
        <f>TABLA_BASE[[#This Row],[IPM UNIT.
(US$)
✅CF]]*TABLA_BASE[[#This Row],[CANTIDAD
(unid.)]]</f>
        <v>0</v>
      </c>
      <c r="M39" s="282">
        <f>IF('🧾 Tributos Aduana'!$F$6=0,0,'🧾 Tributos Aduana'!$F$19*('🧾 Factura Comercial'!H41/'🧾 Tributos Aduana'!$F$6))</f>
        <v>0</v>
      </c>
      <c r="N39" s="283">
        <f>TABLA_BASE[[#This Row],[IGV UNIT.
(US$)
✅CF]]*TABLA_BASE[[#This Row],[CANTIDAD
(unid.)]]</f>
        <v>0</v>
      </c>
      <c r="O39" s="283">
        <f>IF('🧾 Tributos Aduana'!$F$6=0,0,'🧾 Tributos Aduana'!$F$23*('🧾 Factura Comercial'!H41/'🧾 Tributos Aduana'!$F$6))</f>
        <v>0</v>
      </c>
      <c r="P39" s="283">
        <f>TABLA_BASE[[#This Row],[PERCEP.
UNIT.(US$)
✅CF]]*TABLA_BASE[[#This Row],[CANTIDAD
(unid.)]]</f>
        <v>0</v>
      </c>
      <c r="Q39" s="282">
        <f>TABLA_BASE[[#This Row],[ADV UNIT.
(US$)
⚠️COSTO]]+TABLA_BASE[[#This Row],[IPM UNIT.
(US$)
✅CF]]+TABLA_BASE[[#This Row],[IGV UNIT.
(US$)
✅CF]]</f>
        <v>0</v>
      </c>
      <c r="R39" s="283">
        <f>TABLA_BASE[[#This Row],[DEUDA
ADUANERA
UNIT.]]*TABLA_BASE[[#This Row],[CANTIDAD
(unid.)]]</f>
        <v>0</v>
      </c>
      <c r="S39" s="284">
        <f>TABLA_BASE[[#This Row],[ADV UNIT.
(US$)
⚠️COSTO]]*'📋 Datos Generales'!$E$19</f>
        <v>0</v>
      </c>
      <c r="T39" s="284">
        <f>TABLA_BASE[[#This Row],[ADV UNIT.
(S/.)]]*TABLA_BASE[[#This Row],[CANTIDAD
(unid.)]]</f>
        <v>0</v>
      </c>
      <c r="U39" s="284">
        <f>TABLA_BASE[[#This Row],[IPM UNIT.
(US$)
✅CF]]*'📋 Datos Generales'!$E$19</f>
        <v>0</v>
      </c>
      <c r="V39" s="284">
        <f>TABLA_BASE[[#This Row],[IPM UNIT.
(S/.)]]*TABLA_BASE[[#This Row],[CANTIDAD
(unid.)]]</f>
        <v>0</v>
      </c>
      <c r="W39" s="284">
        <f>TABLA_BASE[[#This Row],[IGV UNIT.
(US$)
✅CF]]*'📋 Datos Generales'!$E$19</f>
        <v>0</v>
      </c>
      <c r="X39" s="284">
        <f>TABLA_BASE[[#This Row],[IGV UNIT.
(S/.)]]*TABLA_BASE[[#This Row],[CANTIDAD
(unid.)]]</f>
        <v>0</v>
      </c>
      <c r="Y39" s="284">
        <f>TABLA_BASE[[#This Row],[PERCEP.
UNIT.(US$)
✅CF]]*'📋 Datos Generales'!$E$19</f>
        <v>0</v>
      </c>
      <c r="Z39" s="284">
        <f>TABLA_BASE[[#This Row],[PERCEP.
UNIT.(S/.)]]*TABLA_BASE[[#This Row],[CANTIDAD
(unid.)]]</f>
        <v>0</v>
      </c>
      <c r="AA39" s="282">
        <f>TABLA_BASE[[#This Row],[ADV UNIT.
(US$)
⚠️COSTO]]+TABLA_BASE[[#This Row],[IPM UNIT.
(US$)
✅CF]]+TABLA_BASE[[#This Row],[IGV UNIT.
(US$)
✅CF]]+TABLA_BASE[[#This Row],[PERCEP.
UNIT.(US$)
✅CF]]</f>
        <v>0</v>
      </c>
      <c r="AB39" s="282">
        <f>TABLA_BASE[[#This Row],[TOTAL PAGO
SUNAT
UNIT.(US$)]]*TABLA_BASE[[#This Row],[CANTIDAD
(unid.)]]</f>
        <v>0</v>
      </c>
      <c r="AC39" s="284">
        <f>TABLA_BASE[[#This Row],[TOTAL PAGO
SUNAT
UNIT.(US$)]]*'📋 Datos Generales'!$E$19</f>
        <v>0</v>
      </c>
      <c r="AD39" s="284">
        <f>TABLA_BASE[[#This Row],[TOTAL TRIB.
UNIT.(S/.)]]*TABLA_BASE[[#This Row],[CANTIDAD
(unid.)]]</f>
        <v>0</v>
      </c>
      <c r="AE39" s="282">
        <f>IF('🧾 Factura Comercial'!G41=0,0,'📦 Gastos Importación'!$E$28*(IF('🧾 Tributos Aduana'!$F$6=0,0,'🧾 Factura Comercial'!I41/'🧾 Tributos Aduana'!$F$6))/'🧾 Factura Comercial'!G41)</f>
        <v>0</v>
      </c>
      <c r="AF39" s="282">
        <f>TABLA_BASE[[#This Row],[GASTOS IMP.
UNIT.(US$)]]*TABLA_BASE[[#This Row],[CANTIDAD
(unid.)]]</f>
        <v>0</v>
      </c>
      <c r="AG39" s="284">
        <f>TABLA_BASE[[#This Row],[GASTOS IMP.
UNIT.(US$)]]*'📋 Datos Generales'!$E$19</f>
        <v>0</v>
      </c>
      <c r="AH39" s="284">
        <f>TABLA_BASE[[#This Row],[GASTOS IMP.
UNIT.(S/.)]]*TABLA_BASE[[#This Row],[CANTIDAD
(unid.)]]</f>
        <v>0</v>
      </c>
      <c r="AI39" s="283">
        <f>'🧮 Costos x Producto'!J43</f>
        <v>0</v>
      </c>
      <c r="AJ39" s="282">
        <f>'🧮 Costos x Producto'!K43</f>
        <v>0</v>
      </c>
      <c r="AK39" s="282">
        <f>IF('🧾 Factura Comercial'!G41=0,0,'🧾 Tributos Aduana'!$F$17*(IF('🧾 Tributos Aduana'!$F$6=0,0,'🧾 Factura Comercial'!I41/'🧾 Tributos Aduana'!$F$6))/'🧾 Factura Comercial'!G41)</f>
        <v>0</v>
      </c>
      <c r="AL39" s="282">
        <f>IF('🧾 Factura Comercial'!G41=0,0,'🏦 Crédito Fiscal'!$C$16*(IF('🧾 Tributos Aduana'!$F$6=0,0,'🧾 Factura Comercial'!I41/'🧾 Tributos Aduana'!$F$6))/'🧾 Factura Comercial'!G41)</f>
        <v>0</v>
      </c>
      <c r="AM39" s="284">
        <f>TABLA_BASE[[#This Row],[CF UNIT.
✅RECUP.
(US$)]]*'📋 Datos Generales'!$E$19</f>
        <v>0</v>
      </c>
      <c r="AN39" s="281">
        <f>TABLA_BASE[[#This Row],[CF UNIT.
✅RECUP.(S/.)]]*TABLA_BASE[[#This Row],[CANTIDAD
(unid.)]]</f>
        <v>0</v>
      </c>
      <c r="AO39" s="298">
        <f>'💰 Precio de Venta'!G44</f>
        <v>0</v>
      </c>
      <c r="AP39" s="284">
        <f>'💰 Precio de Venta'!H44</f>
        <v>0</v>
      </c>
      <c r="AQ39" s="284">
        <f>'💰 Precio de Venta'!I44</f>
        <v>0</v>
      </c>
      <c r="AR39" s="281">
        <f>'💰 Precio de Venta'!J44</f>
        <v>0</v>
      </c>
      <c r="AS39" s="300">
        <f>'💰 Precio de Venta'!K44</f>
        <v>0</v>
      </c>
      <c r="AT39" s="281">
        <f>TABLA_BASE[[#This Row],[GANANCIA
UNIT.(S/.)]]*'🧾 Factura Comercial'!G41</f>
        <v>0</v>
      </c>
      <c r="AU39" s="280">
        <f>IF(TABLA_BASE[[#This Row],[PRECIO VTA.
c/IGV(S/.)]]=0,0,TABLA_BASE[[#This Row],[GANANCIA
UNIT.(S/.)]]/TABLA_BASE[[#This Row],[PRECIO VTA.
c/IGV(S/.)]])</f>
        <v>0</v>
      </c>
      <c r="AV39" s="280">
        <f>IF(TABLA_BASE[[#This Row],[C/M UNIT.
(S/.)]]=0,0,TABLA_BASE[[#This Row],[GANANCIA
UNIT.(S/.)]]/TABLA_BASE[[#This Row],[C/M UNIT.
(S/.)]])</f>
        <v>0</v>
      </c>
      <c r="AW39" s="277" t="str">
        <f>IF(TABLA_BASE[[#This Row],[MARGEN
%]]&gt;=0.5,"🟢 ALTO",IF(TABLA_BASE[[#This Row],[MARGEN
%]]&gt;=0.3,"🟡 MEDIO","🔴 BAJO"))</f>
        <v>🔴 BAJO</v>
      </c>
    </row>
    <row r="40" spans="1:49" ht="16.5" hidden="1" thickTop="1" thickBot="1" x14ac:dyDescent="0.3">
      <c r="A40" s="277">
        <f>'🧾 Factura Comercial'!E42</f>
        <v>0</v>
      </c>
      <c r="B40" s="277">
        <f>'🧾 Factura Comercial'!F42</f>
        <v>0</v>
      </c>
      <c r="C40" s="278">
        <f>'🧾 Factura Comercial'!G42</f>
        <v>0</v>
      </c>
      <c r="D40" s="279">
        <f>'🧾 Factura Comercial'!H42</f>
        <v>0</v>
      </c>
      <c r="E40" s="279">
        <f>'🧾 Factura Comercial'!I42</f>
        <v>0</v>
      </c>
      <c r="F40" s="280">
        <f>IF('🧾 Tributos Aduana'!$F$6=0,0,'🧾 Factura Comercial'!I42/'🧾 Tributos Aduana'!$F$6)</f>
        <v>0</v>
      </c>
      <c r="G40" s="281">
        <f>'🧾 Factura Comercial'!H42*'📋 Datos Generales'!$E$19</f>
        <v>0</v>
      </c>
      <c r="H40" s="281">
        <f>TABLA_BASE[[#This Row],[FOB UNIT.
(S/.)]]*TABLA_BASE[[#This Row],[CANTIDAD
(unid.)]]</f>
        <v>0</v>
      </c>
      <c r="I40" s="283">
        <f>IF('🧾 Tributos Aduana'!$F$6=0,0,'🧾 Tributos Aduana'!$F$17*('🧾 Factura Comercial'!H42/'🧾 Tributos Aduana'!$F$6))</f>
        <v>0</v>
      </c>
      <c r="J40" s="283">
        <f>TABLA_BASE[[#This Row],[ADV UNIT.
(US$)
⚠️COSTO]]*TABLA_BASE[[#This Row],[CANTIDAD
(unid.)]]</f>
        <v>0</v>
      </c>
      <c r="K40" s="282">
        <f>IF('🧾 Tributos Aduana'!$F$6=0,0,'🧾 Tributos Aduana'!$F$18*('🧾 Factura Comercial'!H42/'🧾 Tributos Aduana'!$F$6))</f>
        <v>0</v>
      </c>
      <c r="L40" s="283">
        <f>TABLA_BASE[[#This Row],[IPM UNIT.
(US$)
✅CF]]*TABLA_BASE[[#This Row],[CANTIDAD
(unid.)]]</f>
        <v>0</v>
      </c>
      <c r="M40" s="282">
        <f>IF('🧾 Tributos Aduana'!$F$6=0,0,'🧾 Tributos Aduana'!$F$19*('🧾 Factura Comercial'!H42/'🧾 Tributos Aduana'!$F$6))</f>
        <v>0</v>
      </c>
      <c r="N40" s="283">
        <f>TABLA_BASE[[#This Row],[IGV UNIT.
(US$)
✅CF]]*TABLA_BASE[[#This Row],[CANTIDAD
(unid.)]]</f>
        <v>0</v>
      </c>
      <c r="O40" s="283">
        <f>IF('🧾 Tributos Aduana'!$F$6=0,0,'🧾 Tributos Aduana'!$F$23*('🧾 Factura Comercial'!H42/'🧾 Tributos Aduana'!$F$6))</f>
        <v>0</v>
      </c>
      <c r="P40" s="283">
        <f>TABLA_BASE[[#This Row],[PERCEP.
UNIT.(US$)
✅CF]]*TABLA_BASE[[#This Row],[CANTIDAD
(unid.)]]</f>
        <v>0</v>
      </c>
      <c r="Q40" s="282">
        <f>TABLA_BASE[[#This Row],[ADV UNIT.
(US$)
⚠️COSTO]]+TABLA_BASE[[#This Row],[IPM UNIT.
(US$)
✅CF]]+TABLA_BASE[[#This Row],[IGV UNIT.
(US$)
✅CF]]</f>
        <v>0</v>
      </c>
      <c r="R40" s="283">
        <f>TABLA_BASE[[#This Row],[DEUDA
ADUANERA
UNIT.]]*TABLA_BASE[[#This Row],[CANTIDAD
(unid.)]]</f>
        <v>0</v>
      </c>
      <c r="S40" s="284">
        <f>TABLA_BASE[[#This Row],[ADV UNIT.
(US$)
⚠️COSTO]]*'📋 Datos Generales'!$E$19</f>
        <v>0</v>
      </c>
      <c r="T40" s="284">
        <f>TABLA_BASE[[#This Row],[ADV UNIT.
(S/.)]]*TABLA_BASE[[#This Row],[CANTIDAD
(unid.)]]</f>
        <v>0</v>
      </c>
      <c r="U40" s="284">
        <f>TABLA_BASE[[#This Row],[IPM UNIT.
(US$)
✅CF]]*'📋 Datos Generales'!$E$19</f>
        <v>0</v>
      </c>
      <c r="V40" s="284">
        <f>TABLA_BASE[[#This Row],[IPM UNIT.
(S/.)]]*TABLA_BASE[[#This Row],[CANTIDAD
(unid.)]]</f>
        <v>0</v>
      </c>
      <c r="W40" s="284">
        <f>TABLA_BASE[[#This Row],[IGV UNIT.
(US$)
✅CF]]*'📋 Datos Generales'!$E$19</f>
        <v>0</v>
      </c>
      <c r="X40" s="284">
        <f>TABLA_BASE[[#This Row],[IGV UNIT.
(S/.)]]*TABLA_BASE[[#This Row],[CANTIDAD
(unid.)]]</f>
        <v>0</v>
      </c>
      <c r="Y40" s="284">
        <f>TABLA_BASE[[#This Row],[PERCEP.
UNIT.(US$)
✅CF]]*'📋 Datos Generales'!$E$19</f>
        <v>0</v>
      </c>
      <c r="Z40" s="284">
        <f>TABLA_BASE[[#This Row],[PERCEP.
UNIT.(S/.)]]*TABLA_BASE[[#This Row],[CANTIDAD
(unid.)]]</f>
        <v>0</v>
      </c>
      <c r="AA40" s="282">
        <f>TABLA_BASE[[#This Row],[ADV UNIT.
(US$)
⚠️COSTO]]+TABLA_BASE[[#This Row],[IPM UNIT.
(US$)
✅CF]]+TABLA_BASE[[#This Row],[IGV UNIT.
(US$)
✅CF]]+TABLA_BASE[[#This Row],[PERCEP.
UNIT.(US$)
✅CF]]</f>
        <v>0</v>
      </c>
      <c r="AB40" s="282">
        <f>TABLA_BASE[[#This Row],[TOTAL PAGO
SUNAT
UNIT.(US$)]]*TABLA_BASE[[#This Row],[CANTIDAD
(unid.)]]</f>
        <v>0</v>
      </c>
      <c r="AC40" s="284">
        <f>TABLA_BASE[[#This Row],[TOTAL PAGO
SUNAT
UNIT.(US$)]]*'📋 Datos Generales'!$E$19</f>
        <v>0</v>
      </c>
      <c r="AD40" s="284">
        <f>TABLA_BASE[[#This Row],[TOTAL TRIB.
UNIT.(S/.)]]*TABLA_BASE[[#This Row],[CANTIDAD
(unid.)]]</f>
        <v>0</v>
      </c>
      <c r="AE40" s="282">
        <f>IF('🧾 Factura Comercial'!G42=0,0,'📦 Gastos Importación'!$E$28*(IF('🧾 Tributos Aduana'!$F$6=0,0,'🧾 Factura Comercial'!I42/'🧾 Tributos Aduana'!$F$6))/'🧾 Factura Comercial'!G42)</f>
        <v>0</v>
      </c>
      <c r="AF40" s="282">
        <f>TABLA_BASE[[#This Row],[GASTOS IMP.
UNIT.(US$)]]*TABLA_BASE[[#This Row],[CANTIDAD
(unid.)]]</f>
        <v>0</v>
      </c>
      <c r="AG40" s="284">
        <f>TABLA_BASE[[#This Row],[GASTOS IMP.
UNIT.(US$)]]*'📋 Datos Generales'!$E$19</f>
        <v>0</v>
      </c>
      <c r="AH40" s="284">
        <f>TABLA_BASE[[#This Row],[GASTOS IMP.
UNIT.(S/.)]]*TABLA_BASE[[#This Row],[CANTIDAD
(unid.)]]</f>
        <v>0</v>
      </c>
      <c r="AI40" s="283">
        <f>'🧮 Costos x Producto'!J44</f>
        <v>0</v>
      </c>
      <c r="AJ40" s="282">
        <f>'🧮 Costos x Producto'!K44</f>
        <v>0</v>
      </c>
      <c r="AK40" s="282">
        <f>IF('🧾 Factura Comercial'!G42=0,0,'🧾 Tributos Aduana'!$F$17*(IF('🧾 Tributos Aduana'!$F$6=0,0,'🧾 Factura Comercial'!I42/'🧾 Tributos Aduana'!$F$6))/'🧾 Factura Comercial'!G42)</f>
        <v>0</v>
      </c>
      <c r="AL40" s="282">
        <f>IF('🧾 Factura Comercial'!G42=0,0,'🏦 Crédito Fiscal'!$C$16*(IF('🧾 Tributos Aduana'!$F$6=0,0,'🧾 Factura Comercial'!I42/'🧾 Tributos Aduana'!$F$6))/'🧾 Factura Comercial'!G42)</f>
        <v>0</v>
      </c>
      <c r="AM40" s="284">
        <f>TABLA_BASE[[#This Row],[CF UNIT.
✅RECUP.
(US$)]]*'📋 Datos Generales'!$E$19</f>
        <v>0</v>
      </c>
      <c r="AN40" s="281">
        <f>TABLA_BASE[[#This Row],[CF UNIT.
✅RECUP.(S/.)]]*TABLA_BASE[[#This Row],[CANTIDAD
(unid.)]]</f>
        <v>0</v>
      </c>
      <c r="AO40" s="298">
        <f>'💰 Precio de Venta'!G45</f>
        <v>0</v>
      </c>
      <c r="AP40" s="284">
        <f>'💰 Precio de Venta'!H45</f>
        <v>0</v>
      </c>
      <c r="AQ40" s="284">
        <f>'💰 Precio de Venta'!I45</f>
        <v>0</v>
      </c>
      <c r="AR40" s="281">
        <f>'💰 Precio de Venta'!J45</f>
        <v>0</v>
      </c>
      <c r="AS40" s="300">
        <f>'💰 Precio de Venta'!K45</f>
        <v>0</v>
      </c>
      <c r="AT40" s="281">
        <f>TABLA_BASE[[#This Row],[GANANCIA
UNIT.(S/.)]]*'🧾 Factura Comercial'!G42</f>
        <v>0</v>
      </c>
      <c r="AU40" s="280">
        <f>IF(TABLA_BASE[[#This Row],[PRECIO VTA.
c/IGV(S/.)]]=0,0,TABLA_BASE[[#This Row],[GANANCIA
UNIT.(S/.)]]/TABLA_BASE[[#This Row],[PRECIO VTA.
c/IGV(S/.)]])</f>
        <v>0</v>
      </c>
      <c r="AV40" s="280">
        <f>IF(TABLA_BASE[[#This Row],[C/M UNIT.
(S/.)]]=0,0,TABLA_BASE[[#This Row],[GANANCIA
UNIT.(S/.)]]/TABLA_BASE[[#This Row],[C/M UNIT.
(S/.)]])</f>
        <v>0</v>
      </c>
      <c r="AW40" s="277" t="str">
        <f>IF(TABLA_BASE[[#This Row],[MARGEN
%]]&gt;=0.5,"🟢 ALTO",IF(TABLA_BASE[[#This Row],[MARGEN
%]]&gt;=0.3,"🟡 MEDIO","🔴 BAJO"))</f>
        <v>🔴 BAJO</v>
      </c>
    </row>
    <row r="41" spans="1:49" ht="16.5" hidden="1" thickTop="1" thickBot="1" x14ac:dyDescent="0.3">
      <c r="A41" s="277">
        <f>'🧾 Factura Comercial'!E43</f>
        <v>0</v>
      </c>
      <c r="B41" s="277">
        <f>'🧾 Factura Comercial'!F43</f>
        <v>0</v>
      </c>
      <c r="C41" s="278">
        <f>'🧾 Factura Comercial'!G43</f>
        <v>0</v>
      </c>
      <c r="D41" s="279">
        <f>'🧾 Factura Comercial'!H43</f>
        <v>0</v>
      </c>
      <c r="E41" s="279">
        <f>'🧾 Factura Comercial'!I43</f>
        <v>0</v>
      </c>
      <c r="F41" s="280">
        <f>IF('🧾 Tributos Aduana'!$F$6=0,0,'🧾 Factura Comercial'!I43/'🧾 Tributos Aduana'!$F$6)</f>
        <v>0</v>
      </c>
      <c r="G41" s="281">
        <f>'🧾 Factura Comercial'!H43*'📋 Datos Generales'!$E$19</f>
        <v>0</v>
      </c>
      <c r="H41" s="281">
        <f>TABLA_BASE[[#This Row],[FOB UNIT.
(S/.)]]*TABLA_BASE[[#This Row],[CANTIDAD
(unid.)]]</f>
        <v>0</v>
      </c>
      <c r="I41" s="283">
        <f>IF('🧾 Tributos Aduana'!$F$6=0,0,'🧾 Tributos Aduana'!$F$17*('🧾 Factura Comercial'!H43/'🧾 Tributos Aduana'!$F$6))</f>
        <v>0</v>
      </c>
      <c r="J41" s="283">
        <f>TABLA_BASE[[#This Row],[ADV UNIT.
(US$)
⚠️COSTO]]*TABLA_BASE[[#This Row],[CANTIDAD
(unid.)]]</f>
        <v>0</v>
      </c>
      <c r="K41" s="282">
        <f>IF('🧾 Tributos Aduana'!$F$6=0,0,'🧾 Tributos Aduana'!$F$18*('🧾 Factura Comercial'!H43/'🧾 Tributos Aduana'!$F$6))</f>
        <v>0</v>
      </c>
      <c r="L41" s="283">
        <f>TABLA_BASE[[#This Row],[IPM UNIT.
(US$)
✅CF]]*TABLA_BASE[[#This Row],[CANTIDAD
(unid.)]]</f>
        <v>0</v>
      </c>
      <c r="M41" s="282">
        <f>IF('🧾 Tributos Aduana'!$F$6=0,0,'🧾 Tributos Aduana'!$F$19*('🧾 Factura Comercial'!H43/'🧾 Tributos Aduana'!$F$6))</f>
        <v>0</v>
      </c>
      <c r="N41" s="283">
        <f>TABLA_BASE[[#This Row],[IGV UNIT.
(US$)
✅CF]]*TABLA_BASE[[#This Row],[CANTIDAD
(unid.)]]</f>
        <v>0</v>
      </c>
      <c r="O41" s="283">
        <f>IF('🧾 Tributos Aduana'!$F$6=0,0,'🧾 Tributos Aduana'!$F$23*('🧾 Factura Comercial'!H43/'🧾 Tributos Aduana'!$F$6))</f>
        <v>0</v>
      </c>
      <c r="P41" s="283">
        <f>TABLA_BASE[[#This Row],[PERCEP.
UNIT.(US$)
✅CF]]*TABLA_BASE[[#This Row],[CANTIDAD
(unid.)]]</f>
        <v>0</v>
      </c>
      <c r="Q41" s="282">
        <f>TABLA_BASE[[#This Row],[ADV UNIT.
(US$)
⚠️COSTO]]+TABLA_BASE[[#This Row],[IPM UNIT.
(US$)
✅CF]]+TABLA_BASE[[#This Row],[IGV UNIT.
(US$)
✅CF]]</f>
        <v>0</v>
      </c>
      <c r="R41" s="283">
        <f>TABLA_BASE[[#This Row],[DEUDA
ADUANERA
UNIT.]]*TABLA_BASE[[#This Row],[CANTIDAD
(unid.)]]</f>
        <v>0</v>
      </c>
      <c r="S41" s="284">
        <f>TABLA_BASE[[#This Row],[ADV UNIT.
(US$)
⚠️COSTO]]*'📋 Datos Generales'!$E$19</f>
        <v>0</v>
      </c>
      <c r="T41" s="284">
        <f>TABLA_BASE[[#This Row],[ADV UNIT.
(S/.)]]*TABLA_BASE[[#This Row],[CANTIDAD
(unid.)]]</f>
        <v>0</v>
      </c>
      <c r="U41" s="284">
        <f>TABLA_BASE[[#This Row],[IPM UNIT.
(US$)
✅CF]]*'📋 Datos Generales'!$E$19</f>
        <v>0</v>
      </c>
      <c r="V41" s="284">
        <f>TABLA_BASE[[#This Row],[IPM UNIT.
(S/.)]]*TABLA_BASE[[#This Row],[CANTIDAD
(unid.)]]</f>
        <v>0</v>
      </c>
      <c r="W41" s="284">
        <f>TABLA_BASE[[#This Row],[IGV UNIT.
(US$)
✅CF]]*'📋 Datos Generales'!$E$19</f>
        <v>0</v>
      </c>
      <c r="X41" s="284">
        <f>TABLA_BASE[[#This Row],[IGV UNIT.
(S/.)]]*TABLA_BASE[[#This Row],[CANTIDAD
(unid.)]]</f>
        <v>0</v>
      </c>
      <c r="Y41" s="284">
        <f>TABLA_BASE[[#This Row],[PERCEP.
UNIT.(US$)
✅CF]]*'📋 Datos Generales'!$E$19</f>
        <v>0</v>
      </c>
      <c r="Z41" s="284">
        <f>TABLA_BASE[[#This Row],[PERCEP.
UNIT.(S/.)]]*TABLA_BASE[[#This Row],[CANTIDAD
(unid.)]]</f>
        <v>0</v>
      </c>
      <c r="AA41" s="282">
        <f>TABLA_BASE[[#This Row],[ADV UNIT.
(US$)
⚠️COSTO]]+TABLA_BASE[[#This Row],[IPM UNIT.
(US$)
✅CF]]+TABLA_BASE[[#This Row],[IGV UNIT.
(US$)
✅CF]]+TABLA_BASE[[#This Row],[PERCEP.
UNIT.(US$)
✅CF]]</f>
        <v>0</v>
      </c>
      <c r="AB41" s="282">
        <f>TABLA_BASE[[#This Row],[TOTAL PAGO
SUNAT
UNIT.(US$)]]*TABLA_BASE[[#This Row],[CANTIDAD
(unid.)]]</f>
        <v>0</v>
      </c>
      <c r="AC41" s="284">
        <f>TABLA_BASE[[#This Row],[TOTAL PAGO
SUNAT
UNIT.(US$)]]*'📋 Datos Generales'!$E$19</f>
        <v>0</v>
      </c>
      <c r="AD41" s="284">
        <f>TABLA_BASE[[#This Row],[TOTAL TRIB.
UNIT.(S/.)]]*TABLA_BASE[[#This Row],[CANTIDAD
(unid.)]]</f>
        <v>0</v>
      </c>
      <c r="AE41" s="282">
        <f>IF('🧾 Factura Comercial'!G43=0,0,'📦 Gastos Importación'!$E$28*(IF('🧾 Tributos Aduana'!$F$6=0,0,'🧾 Factura Comercial'!I43/'🧾 Tributos Aduana'!$F$6))/'🧾 Factura Comercial'!G43)</f>
        <v>0</v>
      </c>
      <c r="AF41" s="282">
        <f>TABLA_BASE[[#This Row],[GASTOS IMP.
UNIT.(US$)]]*TABLA_BASE[[#This Row],[CANTIDAD
(unid.)]]</f>
        <v>0</v>
      </c>
      <c r="AG41" s="284">
        <f>TABLA_BASE[[#This Row],[GASTOS IMP.
UNIT.(US$)]]*'📋 Datos Generales'!$E$19</f>
        <v>0</v>
      </c>
      <c r="AH41" s="284">
        <f>TABLA_BASE[[#This Row],[GASTOS IMP.
UNIT.(S/.)]]*TABLA_BASE[[#This Row],[CANTIDAD
(unid.)]]</f>
        <v>0</v>
      </c>
      <c r="AI41" s="283">
        <f>'🧮 Costos x Producto'!J45</f>
        <v>0</v>
      </c>
      <c r="AJ41" s="282">
        <f>'🧮 Costos x Producto'!K45</f>
        <v>0</v>
      </c>
      <c r="AK41" s="282">
        <f>IF('🧾 Factura Comercial'!G43=0,0,'🧾 Tributos Aduana'!$F$17*(IF('🧾 Tributos Aduana'!$F$6=0,0,'🧾 Factura Comercial'!I43/'🧾 Tributos Aduana'!$F$6))/'🧾 Factura Comercial'!G43)</f>
        <v>0</v>
      </c>
      <c r="AL41" s="282">
        <f>IF('🧾 Factura Comercial'!G43=0,0,'🏦 Crédito Fiscal'!$C$16*(IF('🧾 Tributos Aduana'!$F$6=0,0,'🧾 Factura Comercial'!I43/'🧾 Tributos Aduana'!$F$6))/'🧾 Factura Comercial'!G43)</f>
        <v>0</v>
      </c>
      <c r="AM41" s="284">
        <f>TABLA_BASE[[#This Row],[CF UNIT.
✅RECUP.
(US$)]]*'📋 Datos Generales'!$E$19</f>
        <v>0</v>
      </c>
      <c r="AN41" s="281">
        <f>TABLA_BASE[[#This Row],[CF UNIT.
✅RECUP.(S/.)]]*TABLA_BASE[[#This Row],[CANTIDAD
(unid.)]]</f>
        <v>0</v>
      </c>
      <c r="AO41" s="298">
        <f>'💰 Precio de Venta'!G46</f>
        <v>0</v>
      </c>
      <c r="AP41" s="284">
        <f>'💰 Precio de Venta'!H46</f>
        <v>0</v>
      </c>
      <c r="AQ41" s="284">
        <f>'💰 Precio de Venta'!I46</f>
        <v>0</v>
      </c>
      <c r="AR41" s="281">
        <f>'💰 Precio de Venta'!J46</f>
        <v>0</v>
      </c>
      <c r="AS41" s="300">
        <f>'💰 Precio de Venta'!K46</f>
        <v>0</v>
      </c>
      <c r="AT41" s="281">
        <f>TABLA_BASE[[#This Row],[GANANCIA
UNIT.(S/.)]]*'🧾 Factura Comercial'!G43</f>
        <v>0</v>
      </c>
      <c r="AU41" s="280">
        <f>IF(TABLA_BASE[[#This Row],[PRECIO VTA.
c/IGV(S/.)]]=0,0,TABLA_BASE[[#This Row],[GANANCIA
UNIT.(S/.)]]/TABLA_BASE[[#This Row],[PRECIO VTA.
c/IGV(S/.)]])</f>
        <v>0</v>
      </c>
      <c r="AV41" s="280">
        <f>IF(TABLA_BASE[[#This Row],[C/M UNIT.
(S/.)]]=0,0,TABLA_BASE[[#This Row],[GANANCIA
UNIT.(S/.)]]/TABLA_BASE[[#This Row],[C/M UNIT.
(S/.)]])</f>
        <v>0</v>
      </c>
      <c r="AW41" s="277" t="str">
        <f>IF(TABLA_BASE[[#This Row],[MARGEN
%]]&gt;=0.5,"🟢 ALTO",IF(TABLA_BASE[[#This Row],[MARGEN
%]]&gt;=0.3,"🟡 MEDIO","🔴 BAJO"))</f>
        <v>🔴 BAJO</v>
      </c>
    </row>
    <row r="42" spans="1:49" ht="16.5" hidden="1" thickTop="1" thickBot="1" x14ac:dyDescent="0.3">
      <c r="A42" s="277">
        <f>'🧾 Factura Comercial'!E44</f>
        <v>0</v>
      </c>
      <c r="B42" s="277">
        <f>'🧾 Factura Comercial'!F44</f>
        <v>0</v>
      </c>
      <c r="C42" s="278">
        <f>'🧾 Factura Comercial'!G44</f>
        <v>0</v>
      </c>
      <c r="D42" s="279">
        <f>'🧾 Factura Comercial'!H44</f>
        <v>0</v>
      </c>
      <c r="E42" s="279">
        <f>'🧾 Factura Comercial'!I44</f>
        <v>0</v>
      </c>
      <c r="F42" s="280">
        <f>IF('🧾 Tributos Aduana'!$F$6=0,0,'🧾 Factura Comercial'!I44/'🧾 Tributos Aduana'!$F$6)</f>
        <v>0</v>
      </c>
      <c r="G42" s="281">
        <f>'🧾 Factura Comercial'!H44*'📋 Datos Generales'!$E$19</f>
        <v>0</v>
      </c>
      <c r="H42" s="281">
        <f>TABLA_BASE[[#This Row],[FOB UNIT.
(S/.)]]*TABLA_BASE[[#This Row],[CANTIDAD
(unid.)]]</f>
        <v>0</v>
      </c>
      <c r="I42" s="283">
        <f>IF('🧾 Tributos Aduana'!$F$6=0,0,'🧾 Tributos Aduana'!$F$17*('🧾 Factura Comercial'!H44/'🧾 Tributos Aduana'!$F$6))</f>
        <v>0</v>
      </c>
      <c r="J42" s="283">
        <f>TABLA_BASE[[#This Row],[ADV UNIT.
(US$)
⚠️COSTO]]*TABLA_BASE[[#This Row],[CANTIDAD
(unid.)]]</f>
        <v>0</v>
      </c>
      <c r="K42" s="282">
        <f>IF('🧾 Tributos Aduana'!$F$6=0,0,'🧾 Tributos Aduana'!$F$18*('🧾 Factura Comercial'!H44/'🧾 Tributos Aduana'!$F$6))</f>
        <v>0</v>
      </c>
      <c r="L42" s="283">
        <f>TABLA_BASE[[#This Row],[IPM UNIT.
(US$)
✅CF]]*TABLA_BASE[[#This Row],[CANTIDAD
(unid.)]]</f>
        <v>0</v>
      </c>
      <c r="M42" s="282">
        <f>IF('🧾 Tributos Aduana'!$F$6=0,0,'🧾 Tributos Aduana'!$F$19*('🧾 Factura Comercial'!H44/'🧾 Tributos Aduana'!$F$6))</f>
        <v>0</v>
      </c>
      <c r="N42" s="283">
        <f>TABLA_BASE[[#This Row],[IGV UNIT.
(US$)
✅CF]]*TABLA_BASE[[#This Row],[CANTIDAD
(unid.)]]</f>
        <v>0</v>
      </c>
      <c r="O42" s="283">
        <f>IF('🧾 Tributos Aduana'!$F$6=0,0,'🧾 Tributos Aduana'!$F$23*('🧾 Factura Comercial'!H44/'🧾 Tributos Aduana'!$F$6))</f>
        <v>0</v>
      </c>
      <c r="P42" s="283">
        <f>TABLA_BASE[[#This Row],[PERCEP.
UNIT.(US$)
✅CF]]*TABLA_BASE[[#This Row],[CANTIDAD
(unid.)]]</f>
        <v>0</v>
      </c>
      <c r="Q42" s="282">
        <f>TABLA_BASE[[#This Row],[ADV UNIT.
(US$)
⚠️COSTO]]+TABLA_BASE[[#This Row],[IPM UNIT.
(US$)
✅CF]]+TABLA_BASE[[#This Row],[IGV UNIT.
(US$)
✅CF]]</f>
        <v>0</v>
      </c>
      <c r="R42" s="283">
        <f>TABLA_BASE[[#This Row],[DEUDA
ADUANERA
UNIT.]]*TABLA_BASE[[#This Row],[CANTIDAD
(unid.)]]</f>
        <v>0</v>
      </c>
      <c r="S42" s="284">
        <f>TABLA_BASE[[#This Row],[ADV UNIT.
(US$)
⚠️COSTO]]*'📋 Datos Generales'!$E$19</f>
        <v>0</v>
      </c>
      <c r="T42" s="284">
        <f>TABLA_BASE[[#This Row],[ADV UNIT.
(S/.)]]*TABLA_BASE[[#This Row],[CANTIDAD
(unid.)]]</f>
        <v>0</v>
      </c>
      <c r="U42" s="284">
        <f>TABLA_BASE[[#This Row],[IPM UNIT.
(US$)
✅CF]]*'📋 Datos Generales'!$E$19</f>
        <v>0</v>
      </c>
      <c r="V42" s="284">
        <f>TABLA_BASE[[#This Row],[IPM UNIT.
(S/.)]]*TABLA_BASE[[#This Row],[CANTIDAD
(unid.)]]</f>
        <v>0</v>
      </c>
      <c r="W42" s="284">
        <f>TABLA_BASE[[#This Row],[IGV UNIT.
(US$)
✅CF]]*'📋 Datos Generales'!$E$19</f>
        <v>0</v>
      </c>
      <c r="X42" s="284">
        <f>TABLA_BASE[[#This Row],[IGV UNIT.
(S/.)]]*TABLA_BASE[[#This Row],[CANTIDAD
(unid.)]]</f>
        <v>0</v>
      </c>
      <c r="Y42" s="284">
        <f>TABLA_BASE[[#This Row],[PERCEP.
UNIT.(US$)
✅CF]]*'📋 Datos Generales'!$E$19</f>
        <v>0</v>
      </c>
      <c r="Z42" s="284">
        <f>TABLA_BASE[[#This Row],[PERCEP.
UNIT.(S/.)]]*TABLA_BASE[[#This Row],[CANTIDAD
(unid.)]]</f>
        <v>0</v>
      </c>
      <c r="AA42" s="282">
        <f>TABLA_BASE[[#This Row],[ADV UNIT.
(US$)
⚠️COSTO]]+TABLA_BASE[[#This Row],[IPM UNIT.
(US$)
✅CF]]+TABLA_BASE[[#This Row],[IGV UNIT.
(US$)
✅CF]]+TABLA_BASE[[#This Row],[PERCEP.
UNIT.(US$)
✅CF]]</f>
        <v>0</v>
      </c>
      <c r="AB42" s="282">
        <f>TABLA_BASE[[#This Row],[TOTAL PAGO
SUNAT
UNIT.(US$)]]*TABLA_BASE[[#This Row],[CANTIDAD
(unid.)]]</f>
        <v>0</v>
      </c>
      <c r="AC42" s="284">
        <f>TABLA_BASE[[#This Row],[TOTAL PAGO
SUNAT
UNIT.(US$)]]*'📋 Datos Generales'!$E$19</f>
        <v>0</v>
      </c>
      <c r="AD42" s="284">
        <f>TABLA_BASE[[#This Row],[TOTAL TRIB.
UNIT.(S/.)]]*TABLA_BASE[[#This Row],[CANTIDAD
(unid.)]]</f>
        <v>0</v>
      </c>
      <c r="AE42" s="282">
        <f>IF('🧾 Factura Comercial'!G44=0,0,'📦 Gastos Importación'!$E$28*(IF('🧾 Tributos Aduana'!$F$6=0,0,'🧾 Factura Comercial'!I44/'🧾 Tributos Aduana'!$F$6))/'🧾 Factura Comercial'!G44)</f>
        <v>0</v>
      </c>
      <c r="AF42" s="282">
        <f>TABLA_BASE[[#This Row],[GASTOS IMP.
UNIT.(US$)]]*TABLA_BASE[[#This Row],[CANTIDAD
(unid.)]]</f>
        <v>0</v>
      </c>
      <c r="AG42" s="284">
        <f>TABLA_BASE[[#This Row],[GASTOS IMP.
UNIT.(US$)]]*'📋 Datos Generales'!$E$19</f>
        <v>0</v>
      </c>
      <c r="AH42" s="284">
        <f>TABLA_BASE[[#This Row],[GASTOS IMP.
UNIT.(S/.)]]*TABLA_BASE[[#This Row],[CANTIDAD
(unid.)]]</f>
        <v>0</v>
      </c>
      <c r="AI42" s="283">
        <f>'🧮 Costos x Producto'!J46</f>
        <v>0</v>
      </c>
      <c r="AJ42" s="282">
        <f>'🧮 Costos x Producto'!K46</f>
        <v>0</v>
      </c>
      <c r="AK42" s="282">
        <f>IF('🧾 Factura Comercial'!G44=0,0,'🧾 Tributos Aduana'!$F$17*(IF('🧾 Tributos Aduana'!$F$6=0,0,'🧾 Factura Comercial'!I44/'🧾 Tributos Aduana'!$F$6))/'🧾 Factura Comercial'!G44)</f>
        <v>0</v>
      </c>
      <c r="AL42" s="282">
        <f>IF('🧾 Factura Comercial'!G44=0,0,'🏦 Crédito Fiscal'!$C$16*(IF('🧾 Tributos Aduana'!$F$6=0,0,'🧾 Factura Comercial'!I44/'🧾 Tributos Aduana'!$F$6))/'🧾 Factura Comercial'!G44)</f>
        <v>0</v>
      </c>
      <c r="AM42" s="284">
        <f>TABLA_BASE[[#This Row],[CF UNIT.
✅RECUP.
(US$)]]*'📋 Datos Generales'!$E$19</f>
        <v>0</v>
      </c>
      <c r="AN42" s="281">
        <f>TABLA_BASE[[#This Row],[CF UNIT.
✅RECUP.(S/.)]]*TABLA_BASE[[#This Row],[CANTIDAD
(unid.)]]</f>
        <v>0</v>
      </c>
      <c r="AO42" s="298">
        <f>'💰 Precio de Venta'!G47</f>
        <v>0</v>
      </c>
      <c r="AP42" s="284">
        <f>'💰 Precio de Venta'!H47</f>
        <v>0</v>
      </c>
      <c r="AQ42" s="284">
        <f>'💰 Precio de Venta'!I47</f>
        <v>0</v>
      </c>
      <c r="AR42" s="281">
        <f>'💰 Precio de Venta'!J47</f>
        <v>0</v>
      </c>
      <c r="AS42" s="300">
        <f>'💰 Precio de Venta'!K47</f>
        <v>0</v>
      </c>
      <c r="AT42" s="281">
        <f>TABLA_BASE[[#This Row],[GANANCIA
UNIT.(S/.)]]*'🧾 Factura Comercial'!G44</f>
        <v>0</v>
      </c>
      <c r="AU42" s="280">
        <f>IF(TABLA_BASE[[#This Row],[PRECIO VTA.
c/IGV(S/.)]]=0,0,TABLA_BASE[[#This Row],[GANANCIA
UNIT.(S/.)]]/TABLA_BASE[[#This Row],[PRECIO VTA.
c/IGV(S/.)]])</f>
        <v>0</v>
      </c>
      <c r="AV42" s="280">
        <f>IF(TABLA_BASE[[#This Row],[C/M UNIT.
(S/.)]]=0,0,TABLA_BASE[[#This Row],[GANANCIA
UNIT.(S/.)]]/TABLA_BASE[[#This Row],[C/M UNIT.
(S/.)]])</f>
        <v>0</v>
      </c>
      <c r="AW42" s="277" t="str">
        <f>IF(TABLA_BASE[[#This Row],[MARGEN
%]]&gt;=0.5,"🟢 ALTO",IF(TABLA_BASE[[#This Row],[MARGEN
%]]&gt;=0.3,"🟡 MEDIO","🔴 BAJO"))</f>
        <v>🔴 BAJO</v>
      </c>
    </row>
    <row r="43" spans="1:49" ht="16.5" hidden="1" thickTop="1" thickBot="1" x14ac:dyDescent="0.3">
      <c r="A43" s="277">
        <f>'🧾 Factura Comercial'!E45</f>
        <v>0</v>
      </c>
      <c r="B43" s="277">
        <f>'🧾 Factura Comercial'!F45</f>
        <v>0</v>
      </c>
      <c r="C43" s="278">
        <f>'🧾 Factura Comercial'!G45</f>
        <v>0</v>
      </c>
      <c r="D43" s="279">
        <f>'🧾 Factura Comercial'!H45</f>
        <v>0</v>
      </c>
      <c r="E43" s="279">
        <f>'🧾 Factura Comercial'!I45</f>
        <v>0</v>
      </c>
      <c r="F43" s="280">
        <f>IF('🧾 Tributos Aduana'!$F$6=0,0,'🧾 Factura Comercial'!I45/'🧾 Tributos Aduana'!$F$6)</f>
        <v>0</v>
      </c>
      <c r="G43" s="281">
        <f>'🧾 Factura Comercial'!H45*'📋 Datos Generales'!$E$19</f>
        <v>0</v>
      </c>
      <c r="H43" s="281">
        <f>TABLA_BASE[[#This Row],[FOB UNIT.
(S/.)]]*TABLA_BASE[[#This Row],[CANTIDAD
(unid.)]]</f>
        <v>0</v>
      </c>
      <c r="I43" s="283">
        <f>IF('🧾 Tributos Aduana'!$F$6=0,0,'🧾 Tributos Aduana'!$F$17*('🧾 Factura Comercial'!H45/'🧾 Tributos Aduana'!$F$6))</f>
        <v>0</v>
      </c>
      <c r="J43" s="283">
        <f>TABLA_BASE[[#This Row],[ADV UNIT.
(US$)
⚠️COSTO]]*TABLA_BASE[[#This Row],[CANTIDAD
(unid.)]]</f>
        <v>0</v>
      </c>
      <c r="K43" s="282">
        <f>IF('🧾 Tributos Aduana'!$F$6=0,0,'🧾 Tributos Aduana'!$F$18*('🧾 Factura Comercial'!H45/'🧾 Tributos Aduana'!$F$6))</f>
        <v>0</v>
      </c>
      <c r="L43" s="283">
        <f>TABLA_BASE[[#This Row],[IPM UNIT.
(US$)
✅CF]]*TABLA_BASE[[#This Row],[CANTIDAD
(unid.)]]</f>
        <v>0</v>
      </c>
      <c r="M43" s="282">
        <f>IF('🧾 Tributos Aduana'!$F$6=0,0,'🧾 Tributos Aduana'!$F$19*('🧾 Factura Comercial'!H45/'🧾 Tributos Aduana'!$F$6))</f>
        <v>0</v>
      </c>
      <c r="N43" s="283">
        <f>TABLA_BASE[[#This Row],[IGV UNIT.
(US$)
✅CF]]*TABLA_BASE[[#This Row],[CANTIDAD
(unid.)]]</f>
        <v>0</v>
      </c>
      <c r="O43" s="283">
        <f>IF('🧾 Tributos Aduana'!$F$6=0,0,'🧾 Tributos Aduana'!$F$23*('🧾 Factura Comercial'!H45/'🧾 Tributos Aduana'!$F$6))</f>
        <v>0</v>
      </c>
      <c r="P43" s="283">
        <f>TABLA_BASE[[#This Row],[PERCEP.
UNIT.(US$)
✅CF]]*TABLA_BASE[[#This Row],[CANTIDAD
(unid.)]]</f>
        <v>0</v>
      </c>
      <c r="Q43" s="282">
        <f>TABLA_BASE[[#This Row],[ADV UNIT.
(US$)
⚠️COSTO]]+TABLA_BASE[[#This Row],[IPM UNIT.
(US$)
✅CF]]+TABLA_BASE[[#This Row],[IGV UNIT.
(US$)
✅CF]]</f>
        <v>0</v>
      </c>
      <c r="R43" s="283">
        <f>TABLA_BASE[[#This Row],[DEUDA
ADUANERA
UNIT.]]*TABLA_BASE[[#This Row],[CANTIDAD
(unid.)]]</f>
        <v>0</v>
      </c>
      <c r="S43" s="284">
        <f>TABLA_BASE[[#This Row],[ADV UNIT.
(US$)
⚠️COSTO]]*'📋 Datos Generales'!$E$19</f>
        <v>0</v>
      </c>
      <c r="T43" s="284">
        <f>TABLA_BASE[[#This Row],[ADV UNIT.
(S/.)]]*TABLA_BASE[[#This Row],[CANTIDAD
(unid.)]]</f>
        <v>0</v>
      </c>
      <c r="U43" s="284">
        <f>TABLA_BASE[[#This Row],[IPM UNIT.
(US$)
✅CF]]*'📋 Datos Generales'!$E$19</f>
        <v>0</v>
      </c>
      <c r="V43" s="284">
        <f>TABLA_BASE[[#This Row],[IPM UNIT.
(S/.)]]*TABLA_BASE[[#This Row],[CANTIDAD
(unid.)]]</f>
        <v>0</v>
      </c>
      <c r="W43" s="284">
        <f>TABLA_BASE[[#This Row],[IGV UNIT.
(US$)
✅CF]]*'📋 Datos Generales'!$E$19</f>
        <v>0</v>
      </c>
      <c r="X43" s="284">
        <f>TABLA_BASE[[#This Row],[IGV UNIT.
(S/.)]]*TABLA_BASE[[#This Row],[CANTIDAD
(unid.)]]</f>
        <v>0</v>
      </c>
      <c r="Y43" s="284">
        <f>TABLA_BASE[[#This Row],[PERCEP.
UNIT.(US$)
✅CF]]*'📋 Datos Generales'!$E$19</f>
        <v>0</v>
      </c>
      <c r="Z43" s="284">
        <f>TABLA_BASE[[#This Row],[PERCEP.
UNIT.(S/.)]]*TABLA_BASE[[#This Row],[CANTIDAD
(unid.)]]</f>
        <v>0</v>
      </c>
      <c r="AA43" s="282">
        <f>TABLA_BASE[[#This Row],[ADV UNIT.
(US$)
⚠️COSTO]]+TABLA_BASE[[#This Row],[IPM UNIT.
(US$)
✅CF]]+TABLA_BASE[[#This Row],[IGV UNIT.
(US$)
✅CF]]+TABLA_BASE[[#This Row],[PERCEP.
UNIT.(US$)
✅CF]]</f>
        <v>0</v>
      </c>
      <c r="AB43" s="282">
        <f>TABLA_BASE[[#This Row],[TOTAL PAGO
SUNAT
UNIT.(US$)]]*TABLA_BASE[[#This Row],[CANTIDAD
(unid.)]]</f>
        <v>0</v>
      </c>
      <c r="AC43" s="284">
        <f>TABLA_BASE[[#This Row],[TOTAL PAGO
SUNAT
UNIT.(US$)]]*'📋 Datos Generales'!$E$19</f>
        <v>0</v>
      </c>
      <c r="AD43" s="284">
        <f>TABLA_BASE[[#This Row],[TOTAL TRIB.
UNIT.(S/.)]]*TABLA_BASE[[#This Row],[CANTIDAD
(unid.)]]</f>
        <v>0</v>
      </c>
      <c r="AE43" s="282">
        <f>IF('🧾 Factura Comercial'!G45=0,0,'📦 Gastos Importación'!$E$28*(IF('🧾 Tributos Aduana'!$F$6=0,0,'🧾 Factura Comercial'!I45/'🧾 Tributos Aduana'!$F$6))/'🧾 Factura Comercial'!G45)</f>
        <v>0</v>
      </c>
      <c r="AF43" s="282">
        <f>TABLA_BASE[[#This Row],[GASTOS IMP.
UNIT.(US$)]]*TABLA_BASE[[#This Row],[CANTIDAD
(unid.)]]</f>
        <v>0</v>
      </c>
      <c r="AG43" s="284">
        <f>TABLA_BASE[[#This Row],[GASTOS IMP.
UNIT.(US$)]]*'📋 Datos Generales'!$E$19</f>
        <v>0</v>
      </c>
      <c r="AH43" s="284">
        <f>TABLA_BASE[[#This Row],[GASTOS IMP.
UNIT.(S/.)]]*TABLA_BASE[[#This Row],[CANTIDAD
(unid.)]]</f>
        <v>0</v>
      </c>
      <c r="AI43" s="283">
        <f>'🧮 Costos x Producto'!J47</f>
        <v>0</v>
      </c>
      <c r="AJ43" s="282">
        <f>'🧮 Costos x Producto'!K47</f>
        <v>0</v>
      </c>
      <c r="AK43" s="282">
        <f>IF('🧾 Factura Comercial'!G45=0,0,'🧾 Tributos Aduana'!$F$17*(IF('🧾 Tributos Aduana'!$F$6=0,0,'🧾 Factura Comercial'!I45/'🧾 Tributos Aduana'!$F$6))/'🧾 Factura Comercial'!G45)</f>
        <v>0</v>
      </c>
      <c r="AL43" s="282">
        <f>IF('🧾 Factura Comercial'!G45=0,0,'🏦 Crédito Fiscal'!$C$16*(IF('🧾 Tributos Aduana'!$F$6=0,0,'🧾 Factura Comercial'!I45/'🧾 Tributos Aduana'!$F$6))/'🧾 Factura Comercial'!G45)</f>
        <v>0</v>
      </c>
      <c r="AM43" s="284">
        <f>TABLA_BASE[[#This Row],[CF UNIT.
✅RECUP.
(US$)]]*'📋 Datos Generales'!$E$19</f>
        <v>0</v>
      </c>
      <c r="AN43" s="281">
        <f>TABLA_BASE[[#This Row],[CF UNIT.
✅RECUP.(S/.)]]*TABLA_BASE[[#This Row],[CANTIDAD
(unid.)]]</f>
        <v>0</v>
      </c>
      <c r="AO43" s="298">
        <f>'💰 Precio de Venta'!G48</f>
        <v>0</v>
      </c>
      <c r="AP43" s="284">
        <f>'💰 Precio de Venta'!H48</f>
        <v>0</v>
      </c>
      <c r="AQ43" s="284">
        <f>'💰 Precio de Venta'!I48</f>
        <v>0</v>
      </c>
      <c r="AR43" s="281">
        <f>'💰 Precio de Venta'!J48</f>
        <v>0</v>
      </c>
      <c r="AS43" s="300">
        <f>'💰 Precio de Venta'!K48</f>
        <v>0</v>
      </c>
      <c r="AT43" s="281">
        <f>TABLA_BASE[[#This Row],[GANANCIA
UNIT.(S/.)]]*'🧾 Factura Comercial'!G45</f>
        <v>0</v>
      </c>
      <c r="AU43" s="280">
        <f>IF(TABLA_BASE[[#This Row],[PRECIO VTA.
c/IGV(S/.)]]=0,0,TABLA_BASE[[#This Row],[GANANCIA
UNIT.(S/.)]]/TABLA_BASE[[#This Row],[PRECIO VTA.
c/IGV(S/.)]])</f>
        <v>0</v>
      </c>
      <c r="AV43" s="280">
        <f>IF(TABLA_BASE[[#This Row],[C/M UNIT.
(S/.)]]=0,0,TABLA_BASE[[#This Row],[GANANCIA
UNIT.(S/.)]]/TABLA_BASE[[#This Row],[C/M UNIT.
(S/.)]])</f>
        <v>0</v>
      </c>
      <c r="AW43" s="277" t="str">
        <f>IF(TABLA_BASE[[#This Row],[MARGEN
%]]&gt;=0.5,"🟢 ALTO",IF(TABLA_BASE[[#This Row],[MARGEN
%]]&gt;=0.3,"🟡 MEDIO","🔴 BAJO"))</f>
        <v>🔴 BAJO</v>
      </c>
    </row>
    <row r="44" spans="1:49" ht="16.5" hidden="1" thickTop="1" thickBot="1" x14ac:dyDescent="0.3">
      <c r="A44" s="277">
        <f>'🧾 Factura Comercial'!E46</f>
        <v>0</v>
      </c>
      <c r="B44" s="277">
        <f>'🧾 Factura Comercial'!F46</f>
        <v>0</v>
      </c>
      <c r="C44" s="278">
        <f>'🧾 Factura Comercial'!G46</f>
        <v>0</v>
      </c>
      <c r="D44" s="279">
        <f>'🧾 Factura Comercial'!H46</f>
        <v>0</v>
      </c>
      <c r="E44" s="279">
        <f>'🧾 Factura Comercial'!I46</f>
        <v>0</v>
      </c>
      <c r="F44" s="280">
        <f>IF('🧾 Tributos Aduana'!$F$6=0,0,'🧾 Factura Comercial'!I46/'🧾 Tributos Aduana'!$F$6)</f>
        <v>0</v>
      </c>
      <c r="G44" s="281">
        <f>'🧾 Factura Comercial'!H46*'📋 Datos Generales'!$E$19</f>
        <v>0</v>
      </c>
      <c r="H44" s="281">
        <f>TABLA_BASE[[#This Row],[FOB UNIT.
(S/.)]]*TABLA_BASE[[#This Row],[CANTIDAD
(unid.)]]</f>
        <v>0</v>
      </c>
      <c r="I44" s="283">
        <f>IF('🧾 Tributos Aduana'!$F$6=0,0,'🧾 Tributos Aduana'!$F$17*('🧾 Factura Comercial'!H46/'🧾 Tributos Aduana'!$F$6))</f>
        <v>0</v>
      </c>
      <c r="J44" s="283">
        <f>TABLA_BASE[[#This Row],[ADV UNIT.
(US$)
⚠️COSTO]]*TABLA_BASE[[#This Row],[CANTIDAD
(unid.)]]</f>
        <v>0</v>
      </c>
      <c r="K44" s="282">
        <f>IF('🧾 Tributos Aduana'!$F$6=0,0,'🧾 Tributos Aduana'!$F$18*('🧾 Factura Comercial'!H46/'🧾 Tributos Aduana'!$F$6))</f>
        <v>0</v>
      </c>
      <c r="L44" s="283">
        <f>TABLA_BASE[[#This Row],[IPM UNIT.
(US$)
✅CF]]*TABLA_BASE[[#This Row],[CANTIDAD
(unid.)]]</f>
        <v>0</v>
      </c>
      <c r="M44" s="282">
        <f>IF('🧾 Tributos Aduana'!$F$6=0,0,'🧾 Tributos Aduana'!$F$19*('🧾 Factura Comercial'!H46/'🧾 Tributos Aduana'!$F$6))</f>
        <v>0</v>
      </c>
      <c r="N44" s="283">
        <f>TABLA_BASE[[#This Row],[IGV UNIT.
(US$)
✅CF]]*TABLA_BASE[[#This Row],[CANTIDAD
(unid.)]]</f>
        <v>0</v>
      </c>
      <c r="O44" s="283">
        <f>IF('🧾 Tributos Aduana'!$F$6=0,0,'🧾 Tributos Aduana'!$F$23*('🧾 Factura Comercial'!H46/'🧾 Tributos Aduana'!$F$6))</f>
        <v>0</v>
      </c>
      <c r="P44" s="283">
        <f>TABLA_BASE[[#This Row],[PERCEP.
UNIT.(US$)
✅CF]]*TABLA_BASE[[#This Row],[CANTIDAD
(unid.)]]</f>
        <v>0</v>
      </c>
      <c r="Q44" s="282">
        <f>TABLA_BASE[[#This Row],[ADV UNIT.
(US$)
⚠️COSTO]]+TABLA_BASE[[#This Row],[IPM UNIT.
(US$)
✅CF]]+TABLA_BASE[[#This Row],[IGV UNIT.
(US$)
✅CF]]</f>
        <v>0</v>
      </c>
      <c r="R44" s="283">
        <f>TABLA_BASE[[#This Row],[DEUDA
ADUANERA
UNIT.]]*TABLA_BASE[[#This Row],[CANTIDAD
(unid.)]]</f>
        <v>0</v>
      </c>
      <c r="S44" s="284">
        <f>TABLA_BASE[[#This Row],[ADV UNIT.
(US$)
⚠️COSTO]]*'📋 Datos Generales'!$E$19</f>
        <v>0</v>
      </c>
      <c r="T44" s="284">
        <f>TABLA_BASE[[#This Row],[ADV UNIT.
(S/.)]]*TABLA_BASE[[#This Row],[CANTIDAD
(unid.)]]</f>
        <v>0</v>
      </c>
      <c r="U44" s="284">
        <f>TABLA_BASE[[#This Row],[IPM UNIT.
(US$)
✅CF]]*'📋 Datos Generales'!$E$19</f>
        <v>0</v>
      </c>
      <c r="V44" s="284">
        <f>TABLA_BASE[[#This Row],[IPM UNIT.
(S/.)]]*TABLA_BASE[[#This Row],[CANTIDAD
(unid.)]]</f>
        <v>0</v>
      </c>
      <c r="W44" s="284">
        <f>TABLA_BASE[[#This Row],[IGV UNIT.
(US$)
✅CF]]*'📋 Datos Generales'!$E$19</f>
        <v>0</v>
      </c>
      <c r="X44" s="284">
        <f>TABLA_BASE[[#This Row],[IGV UNIT.
(S/.)]]*TABLA_BASE[[#This Row],[CANTIDAD
(unid.)]]</f>
        <v>0</v>
      </c>
      <c r="Y44" s="284">
        <f>TABLA_BASE[[#This Row],[PERCEP.
UNIT.(US$)
✅CF]]*'📋 Datos Generales'!$E$19</f>
        <v>0</v>
      </c>
      <c r="Z44" s="284">
        <f>TABLA_BASE[[#This Row],[PERCEP.
UNIT.(S/.)]]*TABLA_BASE[[#This Row],[CANTIDAD
(unid.)]]</f>
        <v>0</v>
      </c>
      <c r="AA44" s="282">
        <f>TABLA_BASE[[#This Row],[ADV UNIT.
(US$)
⚠️COSTO]]+TABLA_BASE[[#This Row],[IPM UNIT.
(US$)
✅CF]]+TABLA_BASE[[#This Row],[IGV UNIT.
(US$)
✅CF]]+TABLA_BASE[[#This Row],[PERCEP.
UNIT.(US$)
✅CF]]</f>
        <v>0</v>
      </c>
      <c r="AB44" s="282">
        <f>TABLA_BASE[[#This Row],[TOTAL PAGO
SUNAT
UNIT.(US$)]]*TABLA_BASE[[#This Row],[CANTIDAD
(unid.)]]</f>
        <v>0</v>
      </c>
      <c r="AC44" s="284">
        <f>TABLA_BASE[[#This Row],[TOTAL PAGO
SUNAT
UNIT.(US$)]]*'📋 Datos Generales'!$E$19</f>
        <v>0</v>
      </c>
      <c r="AD44" s="284">
        <f>TABLA_BASE[[#This Row],[TOTAL TRIB.
UNIT.(S/.)]]*TABLA_BASE[[#This Row],[CANTIDAD
(unid.)]]</f>
        <v>0</v>
      </c>
      <c r="AE44" s="282">
        <f>IF('🧾 Factura Comercial'!G46=0,0,'📦 Gastos Importación'!$E$28*(IF('🧾 Tributos Aduana'!$F$6=0,0,'🧾 Factura Comercial'!I46/'🧾 Tributos Aduana'!$F$6))/'🧾 Factura Comercial'!G46)</f>
        <v>0</v>
      </c>
      <c r="AF44" s="282">
        <f>TABLA_BASE[[#This Row],[GASTOS IMP.
UNIT.(US$)]]*TABLA_BASE[[#This Row],[CANTIDAD
(unid.)]]</f>
        <v>0</v>
      </c>
      <c r="AG44" s="284">
        <f>TABLA_BASE[[#This Row],[GASTOS IMP.
UNIT.(US$)]]*'📋 Datos Generales'!$E$19</f>
        <v>0</v>
      </c>
      <c r="AH44" s="284">
        <f>TABLA_BASE[[#This Row],[GASTOS IMP.
UNIT.(S/.)]]*TABLA_BASE[[#This Row],[CANTIDAD
(unid.)]]</f>
        <v>0</v>
      </c>
      <c r="AI44" s="283">
        <f>'🧮 Costos x Producto'!J48</f>
        <v>0</v>
      </c>
      <c r="AJ44" s="282">
        <f>'🧮 Costos x Producto'!K48</f>
        <v>0</v>
      </c>
      <c r="AK44" s="282">
        <f>IF('🧾 Factura Comercial'!G46=0,0,'🧾 Tributos Aduana'!$F$17*(IF('🧾 Tributos Aduana'!$F$6=0,0,'🧾 Factura Comercial'!I46/'🧾 Tributos Aduana'!$F$6))/'🧾 Factura Comercial'!G46)</f>
        <v>0</v>
      </c>
      <c r="AL44" s="282">
        <f>IF('🧾 Factura Comercial'!G46=0,0,'🏦 Crédito Fiscal'!$C$16*(IF('🧾 Tributos Aduana'!$F$6=0,0,'🧾 Factura Comercial'!I46/'🧾 Tributos Aduana'!$F$6))/'🧾 Factura Comercial'!G46)</f>
        <v>0</v>
      </c>
      <c r="AM44" s="284">
        <f>TABLA_BASE[[#This Row],[CF UNIT.
✅RECUP.
(US$)]]*'📋 Datos Generales'!$E$19</f>
        <v>0</v>
      </c>
      <c r="AN44" s="281">
        <f>TABLA_BASE[[#This Row],[CF UNIT.
✅RECUP.(S/.)]]*TABLA_BASE[[#This Row],[CANTIDAD
(unid.)]]</f>
        <v>0</v>
      </c>
      <c r="AO44" s="298">
        <f>'💰 Precio de Venta'!G49</f>
        <v>0</v>
      </c>
      <c r="AP44" s="284">
        <f>'💰 Precio de Venta'!H49</f>
        <v>0</v>
      </c>
      <c r="AQ44" s="284">
        <f>'💰 Precio de Venta'!I49</f>
        <v>0</v>
      </c>
      <c r="AR44" s="281">
        <f>'💰 Precio de Venta'!J49</f>
        <v>0</v>
      </c>
      <c r="AS44" s="300">
        <f>'💰 Precio de Venta'!K49</f>
        <v>0</v>
      </c>
      <c r="AT44" s="281">
        <f>TABLA_BASE[[#This Row],[GANANCIA
UNIT.(S/.)]]*'🧾 Factura Comercial'!G46</f>
        <v>0</v>
      </c>
      <c r="AU44" s="280">
        <f>IF(TABLA_BASE[[#This Row],[PRECIO VTA.
c/IGV(S/.)]]=0,0,TABLA_BASE[[#This Row],[GANANCIA
UNIT.(S/.)]]/TABLA_BASE[[#This Row],[PRECIO VTA.
c/IGV(S/.)]])</f>
        <v>0</v>
      </c>
      <c r="AV44" s="280">
        <f>IF(TABLA_BASE[[#This Row],[C/M UNIT.
(S/.)]]=0,0,TABLA_BASE[[#This Row],[GANANCIA
UNIT.(S/.)]]/TABLA_BASE[[#This Row],[C/M UNIT.
(S/.)]])</f>
        <v>0</v>
      </c>
      <c r="AW44" s="277" t="str">
        <f>IF(TABLA_BASE[[#This Row],[MARGEN
%]]&gt;=0.5,"🟢 ALTO",IF(TABLA_BASE[[#This Row],[MARGEN
%]]&gt;=0.3,"🟡 MEDIO","🔴 BAJO"))</f>
        <v>🔴 BAJO</v>
      </c>
    </row>
    <row r="45" spans="1:49" ht="16.5" hidden="1" thickTop="1" thickBot="1" x14ac:dyDescent="0.3">
      <c r="A45" s="277">
        <f>'🧾 Factura Comercial'!E47</f>
        <v>0</v>
      </c>
      <c r="B45" s="277">
        <f>'🧾 Factura Comercial'!F47</f>
        <v>0</v>
      </c>
      <c r="C45" s="278">
        <f>'🧾 Factura Comercial'!G47</f>
        <v>0</v>
      </c>
      <c r="D45" s="279">
        <f>'🧾 Factura Comercial'!H47</f>
        <v>0</v>
      </c>
      <c r="E45" s="279">
        <f>'🧾 Factura Comercial'!I47</f>
        <v>0</v>
      </c>
      <c r="F45" s="280">
        <f>IF('🧾 Tributos Aduana'!$F$6=0,0,'🧾 Factura Comercial'!I47/'🧾 Tributos Aduana'!$F$6)</f>
        <v>0</v>
      </c>
      <c r="G45" s="281">
        <f>'🧾 Factura Comercial'!H47*'📋 Datos Generales'!$E$19</f>
        <v>0</v>
      </c>
      <c r="H45" s="281">
        <f>TABLA_BASE[[#This Row],[FOB UNIT.
(S/.)]]*TABLA_BASE[[#This Row],[CANTIDAD
(unid.)]]</f>
        <v>0</v>
      </c>
      <c r="I45" s="283">
        <f>IF('🧾 Tributos Aduana'!$F$6=0,0,'🧾 Tributos Aduana'!$F$17*('🧾 Factura Comercial'!H47/'🧾 Tributos Aduana'!$F$6))</f>
        <v>0</v>
      </c>
      <c r="J45" s="283">
        <f>TABLA_BASE[[#This Row],[ADV UNIT.
(US$)
⚠️COSTO]]*TABLA_BASE[[#This Row],[CANTIDAD
(unid.)]]</f>
        <v>0</v>
      </c>
      <c r="K45" s="282">
        <f>IF('🧾 Tributos Aduana'!$F$6=0,0,'🧾 Tributos Aduana'!$F$18*('🧾 Factura Comercial'!H47/'🧾 Tributos Aduana'!$F$6))</f>
        <v>0</v>
      </c>
      <c r="L45" s="283">
        <f>TABLA_BASE[[#This Row],[IPM UNIT.
(US$)
✅CF]]*TABLA_BASE[[#This Row],[CANTIDAD
(unid.)]]</f>
        <v>0</v>
      </c>
      <c r="M45" s="282">
        <f>IF('🧾 Tributos Aduana'!$F$6=0,0,'🧾 Tributos Aduana'!$F$19*('🧾 Factura Comercial'!H47/'🧾 Tributos Aduana'!$F$6))</f>
        <v>0</v>
      </c>
      <c r="N45" s="283">
        <f>TABLA_BASE[[#This Row],[IGV UNIT.
(US$)
✅CF]]*TABLA_BASE[[#This Row],[CANTIDAD
(unid.)]]</f>
        <v>0</v>
      </c>
      <c r="O45" s="283">
        <f>IF('🧾 Tributos Aduana'!$F$6=0,0,'🧾 Tributos Aduana'!$F$23*('🧾 Factura Comercial'!H47/'🧾 Tributos Aduana'!$F$6))</f>
        <v>0</v>
      </c>
      <c r="P45" s="283">
        <f>TABLA_BASE[[#This Row],[PERCEP.
UNIT.(US$)
✅CF]]*TABLA_BASE[[#This Row],[CANTIDAD
(unid.)]]</f>
        <v>0</v>
      </c>
      <c r="Q45" s="282">
        <f>TABLA_BASE[[#This Row],[ADV UNIT.
(US$)
⚠️COSTO]]+TABLA_BASE[[#This Row],[IPM UNIT.
(US$)
✅CF]]+TABLA_BASE[[#This Row],[IGV UNIT.
(US$)
✅CF]]</f>
        <v>0</v>
      </c>
      <c r="R45" s="283">
        <f>TABLA_BASE[[#This Row],[DEUDA
ADUANERA
UNIT.]]*TABLA_BASE[[#This Row],[CANTIDAD
(unid.)]]</f>
        <v>0</v>
      </c>
      <c r="S45" s="284">
        <f>TABLA_BASE[[#This Row],[ADV UNIT.
(US$)
⚠️COSTO]]*'📋 Datos Generales'!$E$19</f>
        <v>0</v>
      </c>
      <c r="T45" s="284">
        <f>TABLA_BASE[[#This Row],[ADV UNIT.
(S/.)]]*TABLA_BASE[[#This Row],[CANTIDAD
(unid.)]]</f>
        <v>0</v>
      </c>
      <c r="U45" s="284">
        <f>TABLA_BASE[[#This Row],[IPM UNIT.
(US$)
✅CF]]*'📋 Datos Generales'!$E$19</f>
        <v>0</v>
      </c>
      <c r="V45" s="284">
        <f>TABLA_BASE[[#This Row],[IPM UNIT.
(S/.)]]*TABLA_BASE[[#This Row],[CANTIDAD
(unid.)]]</f>
        <v>0</v>
      </c>
      <c r="W45" s="284">
        <f>TABLA_BASE[[#This Row],[IGV UNIT.
(US$)
✅CF]]*'📋 Datos Generales'!$E$19</f>
        <v>0</v>
      </c>
      <c r="X45" s="284">
        <f>TABLA_BASE[[#This Row],[IGV UNIT.
(S/.)]]*TABLA_BASE[[#This Row],[CANTIDAD
(unid.)]]</f>
        <v>0</v>
      </c>
      <c r="Y45" s="284">
        <f>TABLA_BASE[[#This Row],[PERCEP.
UNIT.(US$)
✅CF]]*'📋 Datos Generales'!$E$19</f>
        <v>0</v>
      </c>
      <c r="Z45" s="284">
        <f>TABLA_BASE[[#This Row],[PERCEP.
UNIT.(S/.)]]*TABLA_BASE[[#This Row],[CANTIDAD
(unid.)]]</f>
        <v>0</v>
      </c>
      <c r="AA45" s="282">
        <f>TABLA_BASE[[#This Row],[ADV UNIT.
(US$)
⚠️COSTO]]+TABLA_BASE[[#This Row],[IPM UNIT.
(US$)
✅CF]]+TABLA_BASE[[#This Row],[IGV UNIT.
(US$)
✅CF]]+TABLA_BASE[[#This Row],[PERCEP.
UNIT.(US$)
✅CF]]</f>
        <v>0</v>
      </c>
      <c r="AB45" s="282">
        <f>TABLA_BASE[[#This Row],[TOTAL PAGO
SUNAT
UNIT.(US$)]]*TABLA_BASE[[#This Row],[CANTIDAD
(unid.)]]</f>
        <v>0</v>
      </c>
      <c r="AC45" s="284">
        <f>TABLA_BASE[[#This Row],[TOTAL PAGO
SUNAT
UNIT.(US$)]]*'📋 Datos Generales'!$E$19</f>
        <v>0</v>
      </c>
      <c r="AD45" s="284">
        <f>TABLA_BASE[[#This Row],[TOTAL TRIB.
UNIT.(S/.)]]*TABLA_BASE[[#This Row],[CANTIDAD
(unid.)]]</f>
        <v>0</v>
      </c>
      <c r="AE45" s="282">
        <f>IF('🧾 Factura Comercial'!G47=0,0,'📦 Gastos Importación'!$E$28*(IF('🧾 Tributos Aduana'!$F$6=0,0,'🧾 Factura Comercial'!I47/'🧾 Tributos Aduana'!$F$6))/'🧾 Factura Comercial'!G47)</f>
        <v>0</v>
      </c>
      <c r="AF45" s="282">
        <f>TABLA_BASE[[#This Row],[GASTOS IMP.
UNIT.(US$)]]*TABLA_BASE[[#This Row],[CANTIDAD
(unid.)]]</f>
        <v>0</v>
      </c>
      <c r="AG45" s="284">
        <f>TABLA_BASE[[#This Row],[GASTOS IMP.
UNIT.(US$)]]*'📋 Datos Generales'!$E$19</f>
        <v>0</v>
      </c>
      <c r="AH45" s="284">
        <f>TABLA_BASE[[#This Row],[GASTOS IMP.
UNIT.(S/.)]]*TABLA_BASE[[#This Row],[CANTIDAD
(unid.)]]</f>
        <v>0</v>
      </c>
      <c r="AI45" s="283">
        <f>'🧮 Costos x Producto'!J49</f>
        <v>0</v>
      </c>
      <c r="AJ45" s="282">
        <f>'🧮 Costos x Producto'!K49</f>
        <v>0</v>
      </c>
      <c r="AK45" s="282">
        <f>IF('🧾 Factura Comercial'!G47=0,0,'🧾 Tributos Aduana'!$F$17*(IF('🧾 Tributos Aduana'!$F$6=0,0,'🧾 Factura Comercial'!I47/'🧾 Tributos Aduana'!$F$6))/'🧾 Factura Comercial'!G47)</f>
        <v>0</v>
      </c>
      <c r="AL45" s="282">
        <f>IF('🧾 Factura Comercial'!G47=0,0,'🏦 Crédito Fiscal'!$C$16*(IF('🧾 Tributos Aduana'!$F$6=0,0,'🧾 Factura Comercial'!I47/'🧾 Tributos Aduana'!$F$6))/'🧾 Factura Comercial'!G47)</f>
        <v>0</v>
      </c>
      <c r="AM45" s="284">
        <f>TABLA_BASE[[#This Row],[CF UNIT.
✅RECUP.
(US$)]]*'📋 Datos Generales'!$E$19</f>
        <v>0</v>
      </c>
      <c r="AN45" s="281">
        <f>TABLA_BASE[[#This Row],[CF UNIT.
✅RECUP.(S/.)]]*TABLA_BASE[[#This Row],[CANTIDAD
(unid.)]]</f>
        <v>0</v>
      </c>
      <c r="AO45" s="298">
        <f>'💰 Precio de Venta'!G50</f>
        <v>0</v>
      </c>
      <c r="AP45" s="284">
        <f>'💰 Precio de Venta'!H50</f>
        <v>0</v>
      </c>
      <c r="AQ45" s="284">
        <f>'💰 Precio de Venta'!I50</f>
        <v>0</v>
      </c>
      <c r="AR45" s="281">
        <f>'💰 Precio de Venta'!J50</f>
        <v>0</v>
      </c>
      <c r="AS45" s="300">
        <f>'💰 Precio de Venta'!K50</f>
        <v>0</v>
      </c>
      <c r="AT45" s="281">
        <f>TABLA_BASE[[#This Row],[GANANCIA
UNIT.(S/.)]]*'🧾 Factura Comercial'!G47</f>
        <v>0</v>
      </c>
      <c r="AU45" s="280">
        <f>IF(TABLA_BASE[[#This Row],[PRECIO VTA.
c/IGV(S/.)]]=0,0,TABLA_BASE[[#This Row],[GANANCIA
UNIT.(S/.)]]/TABLA_BASE[[#This Row],[PRECIO VTA.
c/IGV(S/.)]])</f>
        <v>0</v>
      </c>
      <c r="AV45" s="280">
        <f>IF(TABLA_BASE[[#This Row],[C/M UNIT.
(S/.)]]=0,0,TABLA_BASE[[#This Row],[GANANCIA
UNIT.(S/.)]]/TABLA_BASE[[#This Row],[C/M UNIT.
(S/.)]])</f>
        <v>0</v>
      </c>
      <c r="AW45" s="277" t="str">
        <f>IF(TABLA_BASE[[#This Row],[MARGEN
%]]&gt;=0.5,"🟢 ALTO",IF(TABLA_BASE[[#This Row],[MARGEN
%]]&gt;=0.3,"🟡 MEDIO","🔴 BAJO"))</f>
        <v>🔴 BAJO</v>
      </c>
    </row>
    <row r="46" spans="1:49" ht="16.5" hidden="1" thickTop="1" thickBot="1" x14ac:dyDescent="0.3">
      <c r="A46" s="277">
        <f>'🧾 Factura Comercial'!E48</f>
        <v>0</v>
      </c>
      <c r="B46" s="277">
        <f>'🧾 Factura Comercial'!F48</f>
        <v>0</v>
      </c>
      <c r="C46" s="278">
        <f>'🧾 Factura Comercial'!G48</f>
        <v>0</v>
      </c>
      <c r="D46" s="279">
        <f>'🧾 Factura Comercial'!H48</f>
        <v>0</v>
      </c>
      <c r="E46" s="279">
        <f>'🧾 Factura Comercial'!I48</f>
        <v>0</v>
      </c>
      <c r="F46" s="280">
        <f>IF('🧾 Tributos Aduana'!$F$6=0,0,'🧾 Factura Comercial'!I48/'🧾 Tributos Aduana'!$F$6)</f>
        <v>0</v>
      </c>
      <c r="G46" s="281">
        <f>'🧾 Factura Comercial'!H48*'📋 Datos Generales'!$E$19</f>
        <v>0</v>
      </c>
      <c r="H46" s="281">
        <f>TABLA_BASE[[#This Row],[FOB UNIT.
(S/.)]]*TABLA_BASE[[#This Row],[CANTIDAD
(unid.)]]</f>
        <v>0</v>
      </c>
      <c r="I46" s="283">
        <f>IF('🧾 Tributos Aduana'!$F$6=0,0,'🧾 Tributos Aduana'!$F$17*('🧾 Factura Comercial'!H48/'🧾 Tributos Aduana'!$F$6))</f>
        <v>0</v>
      </c>
      <c r="J46" s="283">
        <f>TABLA_BASE[[#This Row],[ADV UNIT.
(US$)
⚠️COSTO]]*TABLA_BASE[[#This Row],[CANTIDAD
(unid.)]]</f>
        <v>0</v>
      </c>
      <c r="K46" s="282">
        <f>IF('🧾 Tributos Aduana'!$F$6=0,0,'🧾 Tributos Aduana'!$F$18*('🧾 Factura Comercial'!H48/'🧾 Tributos Aduana'!$F$6))</f>
        <v>0</v>
      </c>
      <c r="L46" s="283">
        <f>TABLA_BASE[[#This Row],[IPM UNIT.
(US$)
✅CF]]*TABLA_BASE[[#This Row],[CANTIDAD
(unid.)]]</f>
        <v>0</v>
      </c>
      <c r="M46" s="282">
        <f>IF('🧾 Tributos Aduana'!$F$6=0,0,'🧾 Tributos Aduana'!$F$19*('🧾 Factura Comercial'!H48/'🧾 Tributos Aduana'!$F$6))</f>
        <v>0</v>
      </c>
      <c r="N46" s="283">
        <f>TABLA_BASE[[#This Row],[IGV UNIT.
(US$)
✅CF]]*TABLA_BASE[[#This Row],[CANTIDAD
(unid.)]]</f>
        <v>0</v>
      </c>
      <c r="O46" s="283">
        <f>IF('🧾 Tributos Aduana'!$F$6=0,0,'🧾 Tributos Aduana'!$F$23*('🧾 Factura Comercial'!H48/'🧾 Tributos Aduana'!$F$6))</f>
        <v>0</v>
      </c>
      <c r="P46" s="283">
        <f>TABLA_BASE[[#This Row],[PERCEP.
UNIT.(US$)
✅CF]]*TABLA_BASE[[#This Row],[CANTIDAD
(unid.)]]</f>
        <v>0</v>
      </c>
      <c r="Q46" s="282">
        <f>TABLA_BASE[[#This Row],[ADV UNIT.
(US$)
⚠️COSTO]]+TABLA_BASE[[#This Row],[IPM UNIT.
(US$)
✅CF]]+TABLA_BASE[[#This Row],[IGV UNIT.
(US$)
✅CF]]</f>
        <v>0</v>
      </c>
      <c r="R46" s="283">
        <f>TABLA_BASE[[#This Row],[DEUDA
ADUANERA
UNIT.]]*TABLA_BASE[[#This Row],[CANTIDAD
(unid.)]]</f>
        <v>0</v>
      </c>
      <c r="S46" s="284">
        <f>TABLA_BASE[[#This Row],[ADV UNIT.
(US$)
⚠️COSTO]]*'📋 Datos Generales'!$E$19</f>
        <v>0</v>
      </c>
      <c r="T46" s="284">
        <f>TABLA_BASE[[#This Row],[ADV UNIT.
(S/.)]]*TABLA_BASE[[#This Row],[CANTIDAD
(unid.)]]</f>
        <v>0</v>
      </c>
      <c r="U46" s="284">
        <f>TABLA_BASE[[#This Row],[IPM UNIT.
(US$)
✅CF]]*'📋 Datos Generales'!$E$19</f>
        <v>0</v>
      </c>
      <c r="V46" s="284">
        <f>TABLA_BASE[[#This Row],[IPM UNIT.
(S/.)]]*TABLA_BASE[[#This Row],[CANTIDAD
(unid.)]]</f>
        <v>0</v>
      </c>
      <c r="W46" s="284">
        <f>TABLA_BASE[[#This Row],[IGV UNIT.
(US$)
✅CF]]*'📋 Datos Generales'!$E$19</f>
        <v>0</v>
      </c>
      <c r="X46" s="284">
        <f>TABLA_BASE[[#This Row],[IGV UNIT.
(S/.)]]*TABLA_BASE[[#This Row],[CANTIDAD
(unid.)]]</f>
        <v>0</v>
      </c>
      <c r="Y46" s="284">
        <f>TABLA_BASE[[#This Row],[PERCEP.
UNIT.(US$)
✅CF]]*'📋 Datos Generales'!$E$19</f>
        <v>0</v>
      </c>
      <c r="Z46" s="284">
        <f>TABLA_BASE[[#This Row],[PERCEP.
UNIT.(S/.)]]*TABLA_BASE[[#This Row],[CANTIDAD
(unid.)]]</f>
        <v>0</v>
      </c>
      <c r="AA46" s="282">
        <f>TABLA_BASE[[#This Row],[ADV UNIT.
(US$)
⚠️COSTO]]+TABLA_BASE[[#This Row],[IPM UNIT.
(US$)
✅CF]]+TABLA_BASE[[#This Row],[IGV UNIT.
(US$)
✅CF]]+TABLA_BASE[[#This Row],[PERCEP.
UNIT.(US$)
✅CF]]</f>
        <v>0</v>
      </c>
      <c r="AB46" s="282">
        <f>TABLA_BASE[[#This Row],[TOTAL PAGO
SUNAT
UNIT.(US$)]]*TABLA_BASE[[#This Row],[CANTIDAD
(unid.)]]</f>
        <v>0</v>
      </c>
      <c r="AC46" s="284">
        <f>TABLA_BASE[[#This Row],[TOTAL PAGO
SUNAT
UNIT.(US$)]]*'📋 Datos Generales'!$E$19</f>
        <v>0</v>
      </c>
      <c r="AD46" s="284">
        <f>TABLA_BASE[[#This Row],[TOTAL TRIB.
UNIT.(S/.)]]*TABLA_BASE[[#This Row],[CANTIDAD
(unid.)]]</f>
        <v>0</v>
      </c>
      <c r="AE46" s="282">
        <f>IF('🧾 Factura Comercial'!G48=0,0,'📦 Gastos Importación'!$E$28*(IF('🧾 Tributos Aduana'!$F$6=0,0,'🧾 Factura Comercial'!I48/'🧾 Tributos Aduana'!$F$6))/'🧾 Factura Comercial'!G48)</f>
        <v>0</v>
      </c>
      <c r="AF46" s="282">
        <f>TABLA_BASE[[#This Row],[GASTOS IMP.
UNIT.(US$)]]*TABLA_BASE[[#This Row],[CANTIDAD
(unid.)]]</f>
        <v>0</v>
      </c>
      <c r="AG46" s="284">
        <f>TABLA_BASE[[#This Row],[GASTOS IMP.
UNIT.(US$)]]*'📋 Datos Generales'!$E$19</f>
        <v>0</v>
      </c>
      <c r="AH46" s="284">
        <f>TABLA_BASE[[#This Row],[GASTOS IMP.
UNIT.(S/.)]]*TABLA_BASE[[#This Row],[CANTIDAD
(unid.)]]</f>
        <v>0</v>
      </c>
      <c r="AI46" s="283">
        <f>'🧮 Costos x Producto'!J50</f>
        <v>0</v>
      </c>
      <c r="AJ46" s="282">
        <f>'🧮 Costos x Producto'!K50</f>
        <v>0</v>
      </c>
      <c r="AK46" s="282">
        <f>IF('🧾 Factura Comercial'!G48=0,0,'🧾 Tributos Aduana'!$F$17*(IF('🧾 Tributos Aduana'!$F$6=0,0,'🧾 Factura Comercial'!I48/'🧾 Tributos Aduana'!$F$6))/'🧾 Factura Comercial'!G48)</f>
        <v>0</v>
      </c>
      <c r="AL46" s="282">
        <f>IF('🧾 Factura Comercial'!G48=0,0,'🏦 Crédito Fiscal'!$C$16*(IF('🧾 Tributos Aduana'!$F$6=0,0,'🧾 Factura Comercial'!I48/'🧾 Tributos Aduana'!$F$6))/'🧾 Factura Comercial'!G48)</f>
        <v>0</v>
      </c>
      <c r="AM46" s="284">
        <f>TABLA_BASE[[#This Row],[CF UNIT.
✅RECUP.
(US$)]]*'📋 Datos Generales'!$E$19</f>
        <v>0</v>
      </c>
      <c r="AN46" s="281">
        <f>TABLA_BASE[[#This Row],[CF UNIT.
✅RECUP.(S/.)]]*TABLA_BASE[[#This Row],[CANTIDAD
(unid.)]]</f>
        <v>0</v>
      </c>
      <c r="AO46" s="298">
        <f>'💰 Precio de Venta'!G51</f>
        <v>0</v>
      </c>
      <c r="AP46" s="284">
        <f>'💰 Precio de Venta'!H51</f>
        <v>0</v>
      </c>
      <c r="AQ46" s="284">
        <f>'💰 Precio de Venta'!I51</f>
        <v>0</v>
      </c>
      <c r="AR46" s="281">
        <f>'💰 Precio de Venta'!J51</f>
        <v>0</v>
      </c>
      <c r="AS46" s="300">
        <f>'💰 Precio de Venta'!K51</f>
        <v>0</v>
      </c>
      <c r="AT46" s="281">
        <f>TABLA_BASE[[#This Row],[GANANCIA
UNIT.(S/.)]]*'🧾 Factura Comercial'!G48</f>
        <v>0</v>
      </c>
      <c r="AU46" s="280">
        <f>IF(TABLA_BASE[[#This Row],[PRECIO VTA.
c/IGV(S/.)]]=0,0,TABLA_BASE[[#This Row],[GANANCIA
UNIT.(S/.)]]/TABLA_BASE[[#This Row],[PRECIO VTA.
c/IGV(S/.)]])</f>
        <v>0</v>
      </c>
      <c r="AV46" s="280">
        <f>IF(TABLA_BASE[[#This Row],[C/M UNIT.
(S/.)]]=0,0,TABLA_BASE[[#This Row],[GANANCIA
UNIT.(S/.)]]/TABLA_BASE[[#This Row],[C/M UNIT.
(S/.)]])</f>
        <v>0</v>
      </c>
      <c r="AW46" s="277" t="str">
        <f>IF(TABLA_BASE[[#This Row],[MARGEN
%]]&gt;=0.5,"🟢 ALTO",IF(TABLA_BASE[[#This Row],[MARGEN
%]]&gt;=0.3,"🟡 MEDIO","🔴 BAJO"))</f>
        <v>🔴 BAJO</v>
      </c>
    </row>
    <row r="47" spans="1:49" ht="16.5" hidden="1" thickTop="1" thickBot="1" x14ac:dyDescent="0.3">
      <c r="A47" s="277">
        <f>'🧾 Factura Comercial'!E49</f>
        <v>0</v>
      </c>
      <c r="B47" s="277">
        <f>'🧾 Factura Comercial'!F49</f>
        <v>0</v>
      </c>
      <c r="C47" s="278">
        <f>'🧾 Factura Comercial'!G49</f>
        <v>0</v>
      </c>
      <c r="D47" s="279">
        <f>'🧾 Factura Comercial'!H49</f>
        <v>0</v>
      </c>
      <c r="E47" s="279">
        <f>'🧾 Factura Comercial'!I49</f>
        <v>0</v>
      </c>
      <c r="F47" s="280">
        <f>IF('🧾 Tributos Aduana'!$F$6=0,0,'🧾 Factura Comercial'!I49/'🧾 Tributos Aduana'!$F$6)</f>
        <v>0</v>
      </c>
      <c r="G47" s="281">
        <f>'🧾 Factura Comercial'!H49*'📋 Datos Generales'!$E$19</f>
        <v>0</v>
      </c>
      <c r="H47" s="281">
        <f>TABLA_BASE[[#This Row],[FOB UNIT.
(S/.)]]*TABLA_BASE[[#This Row],[CANTIDAD
(unid.)]]</f>
        <v>0</v>
      </c>
      <c r="I47" s="283">
        <f>IF('🧾 Tributos Aduana'!$F$6=0,0,'🧾 Tributos Aduana'!$F$17*('🧾 Factura Comercial'!H49/'🧾 Tributos Aduana'!$F$6))</f>
        <v>0</v>
      </c>
      <c r="J47" s="283">
        <f>TABLA_BASE[[#This Row],[ADV UNIT.
(US$)
⚠️COSTO]]*TABLA_BASE[[#This Row],[CANTIDAD
(unid.)]]</f>
        <v>0</v>
      </c>
      <c r="K47" s="282">
        <f>IF('🧾 Tributos Aduana'!$F$6=0,0,'🧾 Tributos Aduana'!$F$18*('🧾 Factura Comercial'!H49/'🧾 Tributos Aduana'!$F$6))</f>
        <v>0</v>
      </c>
      <c r="L47" s="283">
        <f>TABLA_BASE[[#This Row],[IPM UNIT.
(US$)
✅CF]]*TABLA_BASE[[#This Row],[CANTIDAD
(unid.)]]</f>
        <v>0</v>
      </c>
      <c r="M47" s="282">
        <f>IF('🧾 Tributos Aduana'!$F$6=0,0,'🧾 Tributos Aduana'!$F$19*('🧾 Factura Comercial'!H49/'🧾 Tributos Aduana'!$F$6))</f>
        <v>0</v>
      </c>
      <c r="N47" s="283">
        <f>TABLA_BASE[[#This Row],[IGV UNIT.
(US$)
✅CF]]*TABLA_BASE[[#This Row],[CANTIDAD
(unid.)]]</f>
        <v>0</v>
      </c>
      <c r="O47" s="283">
        <f>IF('🧾 Tributos Aduana'!$F$6=0,0,'🧾 Tributos Aduana'!$F$23*('🧾 Factura Comercial'!H49/'🧾 Tributos Aduana'!$F$6))</f>
        <v>0</v>
      </c>
      <c r="P47" s="283">
        <f>TABLA_BASE[[#This Row],[PERCEP.
UNIT.(US$)
✅CF]]*TABLA_BASE[[#This Row],[CANTIDAD
(unid.)]]</f>
        <v>0</v>
      </c>
      <c r="Q47" s="282">
        <f>TABLA_BASE[[#This Row],[ADV UNIT.
(US$)
⚠️COSTO]]+TABLA_BASE[[#This Row],[IPM UNIT.
(US$)
✅CF]]+TABLA_BASE[[#This Row],[IGV UNIT.
(US$)
✅CF]]</f>
        <v>0</v>
      </c>
      <c r="R47" s="283">
        <f>TABLA_BASE[[#This Row],[DEUDA
ADUANERA
UNIT.]]*TABLA_BASE[[#This Row],[CANTIDAD
(unid.)]]</f>
        <v>0</v>
      </c>
      <c r="S47" s="284">
        <f>TABLA_BASE[[#This Row],[ADV UNIT.
(US$)
⚠️COSTO]]*'📋 Datos Generales'!$E$19</f>
        <v>0</v>
      </c>
      <c r="T47" s="284">
        <f>TABLA_BASE[[#This Row],[ADV UNIT.
(S/.)]]*TABLA_BASE[[#This Row],[CANTIDAD
(unid.)]]</f>
        <v>0</v>
      </c>
      <c r="U47" s="284">
        <f>TABLA_BASE[[#This Row],[IPM UNIT.
(US$)
✅CF]]*'📋 Datos Generales'!$E$19</f>
        <v>0</v>
      </c>
      <c r="V47" s="284">
        <f>TABLA_BASE[[#This Row],[IPM UNIT.
(S/.)]]*TABLA_BASE[[#This Row],[CANTIDAD
(unid.)]]</f>
        <v>0</v>
      </c>
      <c r="W47" s="284">
        <f>TABLA_BASE[[#This Row],[IGV UNIT.
(US$)
✅CF]]*'📋 Datos Generales'!$E$19</f>
        <v>0</v>
      </c>
      <c r="X47" s="284">
        <f>TABLA_BASE[[#This Row],[IGV UNIT.
(S/.)]]*TABLA_BASE[[#This Row],[CANTIDAD
(unid.)]]</f>
        <v>0</v>
      </c>
      <c r="Y47" s="284">
        <f>TABLA_BASE[[#This Row],[PERCEP.
UNIT.(US$)
✅CF]]*'📋 Datos Generales'!$E$19</f>
        <v>0</v>
      </c>
      <c r="Z47" s="284">
        <f>TABLA_BASE[[#This Row],[PERCEP.
UNIT.(S/.)]]*TABLA_BASE[[#This Row],[CANTIDAD
(unid.)]]</f>
        <v>0</v>
      </c>
      <c r="AA47" s="282">
        <f>TABLA_BASE[[#This Row],[ADV UNIT.
(US$)
⚠️COSTO]]+TABLA_BASE[[#This Row],[IPM UNIT.
(US$)
✅CF]]+TABLA_BASE[[#This Row],[IGV UNIT.
(US$)
✅CF]]+TABLA_BASE[[#This Row],[PERCEP.
UNIT.(US$)
✅CF]]</f>
        <v>0</v>
      </c>
      <c r="AB47" s="282">
        <f>TABLA_BASE[[#This Row],[TOTAL PAGO
SUNAT
UNIT.(US$)]]*TABLA_BASE[[#This Row],[CANTIDAD
(unid.)]]</f>
        <v>0</v>
      </c>
      <c r="AC47" s="284">
        <f>TABLA_BASE[[#This Row],[TOTAL PAGO
SUNAT
UNIT.(US$)]]*'📋 Datos Generales'!$E$19</f>
        <v>0</v>
      </c>
      <c r="AD47" s="284">
        <f>TABLA_BASE[[#This Row],[TOTAL TRIB.
UNIT.(S/.)]]*TABLA_BASE[[#This Row],[CANTIDAD
(unid.)]]</f>
        <v>0</v>
      </c>
      <c r="AE47" s="282">
        <f>IF('🧾 Factura Comercial'!G49=0,0,'📦 Gastos Importación'!$E$28*(IF('🧾 Tributos Aduana'!$F$6=0,0,'🧾 Factura Comercial'!I49/'🧾 Tributos Aduana'!$F$6))/'🧾 Factura Comercial'!G49)</f>
        <v>0</v>
      </c>
      <c r="AF47" s="282">
        <f>TABLA_BASE[[#This Row],[GASTOS IMP.
UNIT.(US$)]]*TABLA_BASE[[#This Row],[CANTIDAD
(unid.)]]</f>
        <v>0</v>
      </c>
      <c r="AG47" s="284">
        <f>TABLA_BASE[[#This Row],[GASTOS IMP.
UNIT.(US$)]]*'📋 Datos Generales'!$E$19</f>
        <v>0</v>
      </c>
      <c r="AH47" s="284">
        <f>TABLA_BASE[[#This Row],[GASTOS IMP.
UNIT.(S/.)]]*TABLA_BASE[[#This Row],[CANTIDAD
(unid.)]]</f>
        <v>0</v>
      </c>
      <c r="AI47" s="283">
        <f>'🧮 Costos x Producto'!J51</f>
        <v>0</v>
      </c>
      <c r="AJ47" s="282">
        <f>'🧮 Costos x Producto'!K51</f>
        <v>0</v>
      </c>
      <c r="AK47" s="282">
        <f>IF('🧾 Factura Comercial'!G49=0,0,'🧾 Tributos Aduana'!$F$17*(IF('🧾 Tributos Aduana'!$F$6=0,0,'🧾 Factura Comercial'!I49/'🧾 Tributos Aduana'!$F$6))/'🧾 Factura Comercial'!G49)</f>
        <v>0</v>
      </c>
      <c r="AL47" s="282">
        <f>IF('🧾 Factura Comercial'!G49=0,0,'🏦 Crédito Fiscal'!$C$16*(IF('🧾 Tributos Aduana'!$F$6=0,0,'🧾 Factura Comercial'!I49/'🧾 Tributos Aduana'!$F$6))/'🧾 Factura Comercial'!G49)</f>
        <v>0</v>
      </c>
      <c r="AM47" s="284">
        <f>TABLA_BASE[[#This Row],[CF UNIT.
✅RECUP.
(US$)]]*'📋 Datos Generales'!$E$19</f>
        <v>0</v>
      </c>
      <c r="AN47" s="281">
        <f>TABLA_BASE[[#This Row],[CF UNIT.
✅RECUP.(S/.)]]*TABLA_BASE[[#This Row],[CANTIDAD
(unid.)]]</f>
        <v>0</v>
      </c>
      <c r="AO47" s="298">
        <f>'💰 Precio de Venta'!G52</f>
        <v>0</v>
      </c>
      <c r="AP47" s="284">
        <f>'💰 Precio de Venta'!H52</f>
        <v>0</v>
      </c>
      <c r="AQ47" s="284">
        <f>'💰 Precio de Venta'!I52</f>
        <v>0</v>
      </c>
      <c r="AR47" s="281">
        <f>'💰 Precio de Venta'!J52</f>
        <v>0</v>
      </c>
      <c r="AS47" s="300">
        <f>'💰 Precio de Venta'!K52</f>
        <v>0</v>
      </c>
      <c r="AT47" s="281">
        <f>TABLA_BASE[[#This Row],[GANANCIA
UNIT.(S/.)]]*'🧾 Factura Comercial'!G49</f>
        <v>0</v>
      </c>
      <c r="AU47" s="280">
        <f>IF(TABLA_BASE[[#This Row],[PRECIO VTA.
c/IGV(S/.)]]=0,0,TABLA_BASE[[#This Row],[GANANCIA
UNIT.(S/.)]]/TABLA_BASE[[#This Row],[PRECIO VTA.
c/IGV(S/.)]])</f>
        <v>0</v>
      </c>
      <c r="AV47" s="280">
        <f>IF(TABLA_BASE[[#This Row],[C/M UNIT.
(S/.)]]=0,0,TABLA_BASE[[#This Row],[GANANCIA
UNIT.(S/.)]]/TABLA_BASE[[#This Row],[C/M UNIT.
(S/.)]])</f>
        <v>0</v>
      </c>
      <c r="AW47" s="277" t="str">
        <f>IF(TABLA_BASE[[#This Row],[MARGEN
%]]&gt;=0.5,"🟢 ALTO",IF(TABLA_BASE[[#This Row],[MARGEN
%]]&gt;=0.3,"🟡 MEDIO","🔴 BAJO"))</f>
        <v>🔴 BAJO</v>
      </c>
    </row>
    <row r="48" spans="1:49" ht="16.5" hidden="1" thickTop="1" thickBot="1" x14ac:dyDescent="0.3">
      <c r="A48" s="277">
        <f>'🧾 Factura Comercial'!E50</f>
        <v>0</v>
      </c>
      <c r="B48" s="277">
        <f>'🧾 Factura Comercial'!F50</f>
        <v>0</v>
      </c>
      <c r="C48" s="278">
        <f>'🧾 Factura Comercial'!G50</f>
        <v>0</v>
      </c>
      <c r="D48" s="279">
        <f>'🧾 Factura Comercial'!H50</f>
        <v>0</v>
      </c>
      <c r="E48" s="279">
        <f>'🧾 Factura Comercial'!I50</f>
        <v>0</v>
      </c>
      <c r="F48" s="280">
        <f>IF('🧾 Tributos Aduana'!$F$6=0,0,'🧾 Factura Comercial'!I50/'🧾 Tributos Aduana'!$F$6)</f>
        <v>0</v>
      </c>
      <c r="G48" s="281">
        <f>'🧾 Factura Comercial'!H50*'📋 Datos Generales'!$E$19</f>
        <v>0</v>
      </c>
      <c r="H48" s="281">
        <f>TABLA_BASE[[#This Row],[FOB UNIT.
(S/.)]]*TABLA_BASE[[#This Row],[CANTIDAD
(unid.)]]</f>
        <v>0</v>
      </c>
      <c r="I48" s="283">
        <f>IF('🧾 Tributos Aduana'!$F$6=0,0,'🧾 Tributos Aduana'!$F$17*('🧾 Factura Comercial'!H50/'🧾 Tributos Aduana'!$F$6))</f>
        <v>0</v>
      </c>
      <c r="J48" s="283">
        <f>TABLA_BASE[[#This Row],[ADV UNIT.
(US$)
⚠️COSTO]]*TABLA_BASE[[#This Row],[CANTIDAD
(unid.)]]</f>
        <v>0</v>
      </c>
      <c r="K48" s="282">
        <f>IF('🧾 Tributos Aduana'!$F$6=0,0,'🧾 Tributos Aduana'!$F$18*('🧾 Factura Comercial'!H50/'🧾 Tributos Aduana'!$F$6))</f>
        <v>0</v>
      </c>
      <c r="L48" s="283">
        <f>TABLA_BASE[[#This Row],[IPM UNIT.
(US$)
✅CF]]*TABLA_BASE[[#This Row],[CANTIDAD
(unid.)]]</f>
        <v>0</v>
      </c>
      <c r="M48" s="282">
        <f>IF('🧾 Tributos Aduana'!$F$6=0,0,'🧾 Tributos Aduana'!$F$19*('🧾 Factura Comercial'!H50/'🧾 Tributos Aduana'!$F$6))</f>
        <v>0</v>
      </c>
      <c r="N48" s="283">
        <f>TABLA_BASE[[#This Row],[IGV UNIT.
(US$)
✅CF]]*TABLA_BASE[[#This Row],[CANTIDAD
(unid.)]]</f>
        <v>0</v>
      </c>
      <c r="O48" s="283">
        <f>IF('🧾 Tributos Aduana'!$F$6=0,0,'🧾 Tributos Aduana'!$F$23*('🧾 Factura Comercial'!H50/'🧾 Tributos Aduana'!$F$6))</f>
        <v>0</v>
      </c>
      <c r="P48" s="283">
        <f>TABLA_BASE[[#This Row],[PERCEP.
UNIT.(US$)
✅CF]]*TABLA_BASE[[#This Row],[CANTIDAD
(unid.)]]</f>
        <v>0</v>
      </c>
      <c r="Q48" s="282">
        <f>TABLA_BASE[[#This Row],[ADV UNIT.
(US$)
⚠️COSTO]]+TABLA_BASE[[#This Row],[IPM UNIT.
(US$)
✅CF]]+TABLA_BASE[[#This Row],[IGV UNIT.
(US$)
✅CF]]</f>
        <v>0</v>
      </c>
      <c r="R48" s="283">
        <f>TABLA_BASE[[#This Row],[DEUDA
ADUANERA
UNIT.]]*TABLA_BASE[[#This Row],[CANTIDAD
(unid.)]]</f>
        <v>0</v>
      </c>
      <c r="S48" s="284">
        <f>TABLA_BASE[[#This Row],[ADV UNIT.
(US$)
⚠️COSTO]]*'📋 Datos Generales'!$E$19</f>
        <v>0</v>
      </c>
      <c r="T48" s="284">
        <f>TABLA_BASE[[#This Row],[ADV UNIT.
(S/.)]]*TABLA_BASE[[#This Row],[CANTIDAD
(unid.)]]</f>
        <v>0</v>
      </c>
      <c r="U48" s="284">
        <f>TABLA_BASE[[#This Row],[IPM UNIT.
(US$)
✅CF]]*'📋 Datos Generales'!$E$19</f>
        <v>0</v>
      </c>
      <c r="V48" s="284">
        <f>TABLA_BASE[[#This Row],[IPM UNIT.
(S/.)]]*TABLA_BASE[[#This Row],[CANTIDAD
(unid.)]]</f>
        <v>0</v>
      </c>
      <c r="W48" s="284">
        <f>TABLA_BASE[[#This Row],[IGV UNIT.
(US$)
✅CF]]*'📋 Datos Generales'!$E$19</f>
        <v>0</v>
      </c>
      <c r="X48" s="284">
        <f>TABLA_BASE[[#This Row],[IGV UNIT.
(S/.)]]*TABLA_BASE[[#This Row],[CANTIDAD
(unid.)]]</f>
        <v>0</v>
      </c>
      <c r="Y48" s="284">
        <f>TABLA_BASE[[#This Row],[PERCEP.
UNIT.(US$)
✅CF]]*'📋 Datos Generales'!$E$19</f>
        <v>0</v>
      </c>
      <c r="Z48" s="284">
        <f>TABLA_BASE[[#This Row],[PERCEP.
UNIT.(S/.)]]*TABLA_BASE[[#This Row],[CANTIDAD
(unid.)]]</f>
        <v>0</v>
      </c>
      <c r="AA48" s="282">
        <f>TABLA_BASE[[#This Row],[ADV UNIT.
(US$)
⚠️COSTO]]+TABLA_BASE[[#This Row],[IPM UNIT.
(US$)
✅CF]]+TABLA_BASE[[#This Row],[IGV UNIT.
(US$)
✅CF]]+TABLA_BASE[[#This Row],[PERCEP.
UNIT.(US$)
✅CF]]</f>
        <v>0</v>
      </c>
      <c r="AB48" s="282">
        <f>TABLA_BASE[[#This Row],[TOTAL PAGO
SUNAT
UNIT.(US$)]]*TABLA_BASE[[#This Row],[CANTIDAD
(unid.)]]</f>
        <v>0</v>
      </c>
      <c r="AC48" s="284">
        <f>TABLA_BASE[[#This Row],[TOTAL PAGO
SUNAT
UNIT.(US$)]]*'📋 Datos Generales'!$E$19</f>
        <v>0</v>
      </c>
      <c r="AD48" s="284">
        <f>TABLA_BASE[[#This Row],[TOTAL TRIB.
UNIT.(S/.)]]*TABLA_BASE[[#This Row],[CANTIDAD
(unid.)]]</f>
        <v>0</v>
      </c>
      <c r="AE48" s="282">
        <f>IF('🧾 Factura Comercial'!G50=0,0,'📦 Gastos Importación'!$E$28*(IF('🧾 Tributos Aduana'!$F$6=0,0,'🧾 Factura Comercial'!I50/'🧾 Tributos Aduana'!$F$6))/'🧾 Factura Comercial'!G50)</f>
        <v>0</v>
      </c>
      <c r="AF48" s="282">
        <f>TABLA_BASE[[#This Row],[GASTOS IMP.
UNIT.(US$)]]*TABLA_BASE[[#This Row],[CANTIDAD
(unid.)]]</f>
        <v>0</v>
      </c>
      <c r="AG48" s="284">
        <f>TABLA_BASE[[#This Row],[GASTOS IMP.
UNIT.(US$)]]*'📋 Datos Generales'!$E$19</f>
        <v>0</v>
      </c>
      <c r="AH48" s="284">
        <f>TABLA_BASE[[#This Row],[GASTOS IMP.
UNIT.(S/.)]]*TABLA_BASE[[#This Row],[CANTIDAD
(unid.)]]</f>
        <v>0</v>
      </c>
      <c r="AI48" s="283">
        <f>'🧮 Costos x Producto'!J52</f>
        <v>0</v>
      </c>
      <c r="AJ48" s="282">
        <f>'🧮 Costos x Producto'!K52</f>
        <v>0</v>
      </c>
      <c r="AK48" s="282">
        <f>IF('🧾 Factura Comercial'!G50=0,0,'🧾 Tributos Aduana'!$F$17*(IF('🧾 Tributos Aduana'!$F$6=0,0,'🧾 Factura Comercial'!I50/'🧾 Tributos Aduana'!$F$6))/'🧾 Factura Comercial'!G50)</f>
        <v>0</v>
      </c>
      <c r="AL48" s="282">
        <f>IF('🧾 Factura Comercial'!G50=0,0,'🏦 Crédito Fiscal'!$C$16*(IF('🧾 Tributos Aduana'!$F$6=0,0,'🧾 Factura Comercial'!I50/'🧾 Tributos Aduana'!$F$6))/'🧾 Factura Comercial'!G50)</f>
        <v>0</v>
      </c>
      <c r="AM48" s="284">
        <f>TABLA_BASE[[#This Row],[CF UNIT.
✅RECUP.
(US$)]]*'📋 Datos Generales'!$E$19</f>
        <v>0</v>
      </c>
      <c r="AN48" s="281">
        <f>TABLA_BASE[[#This Row],[CF UNIT.
✅RECUP.(S/.)]]*TABLA_BASE[[#This Row],[CANTIDAD
(unid.)]]</f>
        <v>0</v>
      </c>
      <c r="AO48" s="298">
        <f>'💰 Precio de Venta'!G53</f>
        <v>0</v>
      </c>
      <c r="AP48" s="284">
        <f>'💰 Precio de Venta'!H53</f>
        <v>0</v>
      </c>
      <c r="AQ48" s="284">
        <f>'💰 Precio de Venta'!I53</f>
        <v>0</v>
      </c>
      <c r="AR48" s="281">
        <f>'💰 Precio de Venta'!J53</f>
        <v>0</v>
      </c>
      <c r="AS48" s="300">
        <f>'💰 Precio de Venta'!K53</f>
        <v>0</v>
      </c>
      <c r="AT48" s="281">
        <f>TABLA_BASE[[#This Row],[GANANCIA
UNIT.(S/.)]]*'🧾 Factura Comercial'!G50</f>
        <v>0</v>
      </c>
      <c r="AU48" s="280">
        <f>IF(TABLA_BASE[[#This Row],[PRECIO VTA.
c/IGV(S/.)]]=0,0,TABLA_BASE[[#This Row],[GANANCIA
UNIT.(S/.)]]/TABLA_BASE[[#This Row],[PRECIO VTA.
c/IGV(S/.)]])</f>
        <v>0</v>
      </c>
      <c r="AV48" s="280">
        <f>IF(TABLA_BASE[[#This Row],[C/M UNIT.
(S/.)]]=0,0,TABLA_BASE[[#This Row],[GANANCIA
UNIT.(S/.)]]/TABLA_BASE[[#This Row],[C/M UNIT.
(S/.)]])</f>
        <v>0</v>
      </c>
      <c r="AW48" s="277" t="str">
        <f>IF(TABLA_BASE[[#This Row],[MARGEN
%]]&gt;=0.5,"🟢 ALTO",IF(TABLA_BASE[[#This Row],[MARGEN
%]]&gt;=0.3,"🟡 MEDIO","🔴 BAJO"))</f>
        <v>🔴 BAJO</v>
      </c>
    </row>
    <row r="49" spans="1:49" ht="16.5" hidden="1" thickTop="1" thickBot="1" x14ac:dyDescent="0.3">
      <c r="A49" s="277">
        <f>'🧾 Factura Comercial'!E51</f>
        <v>0</v>
      </c>
      <c r="B49" s="277">
        <f>'🧾 Factura Comercial'!F51</f>
        <v>0</v>
      </c>
      <c r="C49" s="278">
        <f>'🧾 Factura Comercial'!G51</f>
        <v>0</v>
      </c>
      <c r="D49" s="279">
        <f>'🧾 Factura Comercial'!H51</f>
        <v>0</v>
      </c>
      <c r="E49" s="279">
        <f>'🧾 Factura Comercial'!I51</f>
        <v>0</v>
      </c>
      <c r="F49" s="280">
        <f>IF('🧾 Tributos Aduana'!$F$6=0,0,'🧾 Factura Comercial'!I51/'🧾 Tributos Aduana'!$F$6)</f>
        <v>0</v>
      </c>
      <c r="G49" s="281">
        <f>'🧾 Factura Comercial'!H51*'📋 Datos Generales'!$E$19</f>
        <v>0</v>
      </c>
      <c r="H49" s="281">
        <f>TABLA_BASE[[#This Row],[FOB UNIT.
(S/.)]]*TABLA_BASE[[#This Row],[CANTIDAD
(unid.)]]</f>
        <v>0</v>
      </c>
      <c r="I49" s="283">
        <f>IF('🧾 Tributos Aduana'!$F$6=0,0,'🧾 Tributos Aduana'!$F$17*('🧾 Factura Comercial'!H51/'🧾 Tributos Aduana'!$F$6))</f>
        <v>0</v>
      </c>
      <c r="J49" s="283">
        <f>TABLA_BASE[[#This Row],[ADV UNIT.
(US$)
⚠️COSTO]]*TABLA_BASE[[#This Row],[CANTIDAD
(unid.)]]</f>
        <v>0</v>
      </c>
      <c r="K49" s="282">
        <f>IF('🧾 Tributos Aduana'!$F$6=0,0,'🧾 Tributos Aduana'!$F$18*('🧾 Factura Comercial'!H51/'🧾 Tributos Aduana'!$F$6))</f>
        <v>0</v>
      </c>
      <c r="L49" s="283">
        <f>TABLA_BASE[[#This Row],[IPM UNIT.
(US$)
✅CF]]*TABLA_BASE[[#This Row],[CANTIDAD
(unid.)]]</f>
        <v>0</v>
      </c>
      <c r="M49" s="282">
        <f>IF('🧾 Tributos Aduana'!$F$6=0,0,'🧾 Tributos Aduana'!$F$19*('🧾 Factura Comercial'!H51/'🧾 Tributos Aduana'!$F$6))</f>
        <v>0</v>
      </c>
      <c r="N49" s="283">
        <f>TABLA_BASE[[#This Row],[IGV UNIT.
(US$)
✅CF]]*TABLA_BASE[[#This Row],[CANTIDAD
(unid.)]]</f>
        <v>0</v>
      </c>
      <c r="O49" s="283">
        <f>IF('🧾 Tributos Aduana'!$F$6=0,0,'🧾 Tributos Aduana'!$F$23*('🧾 Factura Comercial'!H51/'🧾 Tributos Aduana'!$F$6))</f>
        <v>0</v>
      </c>
      <c r="P49" s="283">
        <f>TABLA_BASE[[#This Row],[PERCEP.
UNIT.(US$)
✅CF]]*TABLA_BASE[[#This Row],[CANTIDAD
(unid.)]]</f>
        <v>0</v>
      </c>
      <c r="Q49" s="282">
        <f>TABLA_BASE[[#This Row],[ADV UNIT.
(US$)
⚠️COSTO]]+TABLA_BASE[[#This Row],[IPM UNIT.
(US$)
✅CF]]+TABLA_BASE[[#This Row],[IGV UNIT.
(US$)
✅CF]]</f>
        <v>0</v>
      </c>
      <c r="R49" s="283">
        <f>TABLA_BASE[[#This Row],[DEUDA
ADUANERA
UNIT.]]*TABLA_BASE[[#This Row],[CANTIDAD
(unid.)]]</f>
        <v>0</v>
      </c>
      <c r="S49" s="284">
        <f>TABLA_BASE[[#This Row],[ADV UNIT.
(US$)
⚠️COSTO]]*'📋 Datos Generales'!$E$19</f>
        <v>0</v>
      </c>
      <c r="T49" s="284">
        <f>TABLA_BASE[[#This Row],[ADV UNIT.
(S/.)]]*TABLA_BASE[[#This Row],[CANTIDAD
(unid.)]]</f>
        <v>0</v>
      </c>
      <c r="U49" s="284">
        <f>TABLA_BASE[[#This Row],[IPM UNIT.
(US$)
✅CF]]*'📋 Datos Generales'!$E$19</f>
        <v>0</v>
      </c>
      <c r="V49" s="284">
        <f>TABLA_BASE[[#This Row],[IPM UNIT.
(S/.)]]*TABLA_BASE[[#This Row],[CANTIDAD
(unid.)]]</f>
        <v>0</v>
      </c>
      <c r="W49" s="284">
        <f>TABLA_BASE[[#This Row],[IGV UNIT.
(US$)
✅CF]]*'📋 Datos Generales'!$E$19</f>
        <v>0</v>
      </c>
      <c r="X49" s="284">
        <f>TABLA_BASE[[#This Row],[IGV UNIT.
(S/.)]]*TABLA_BASE[[#This Row],[CANTIDAD
(unid.)]]</f>
        <v>0</v>
      </c>
      <c r="Y49" s="284">
        <f>TABLA_BASE[[#This Row],[PERCEP.
UNIT.(US$)
✅CF]]*'📋 Datos Generales'!$E$19</f>
        <v>0</v>
      </c>
      <c r="Z49" s="284">
        <f>TABLA_BASE[[#This Row],[PERCEP.
UNIT.(S/.)]]*TABLA_BASE[[#This Row],[CANTIDAD
(unid.)]]</f>
        <v>0</v>
      </c>
      <c r="AA49" s="282">
        <f>TABLA_BASE[[#This Row],[ADV UNIT.
(US$)
⚠️COSTO]]+TABLA_BASE[[#This Row],[IPM UNIT.
(US$)
✅CF]]+TABLA_BASE[[#This Row],[IGV UNIT.
(US$)
✅CF]]+TABLA_BASE[[#This Row],[PERCEP.
UNIT.(US$)
✅CF]]</f>
        <v>0</v>
      </c>
      <c r="AB49" s="282">
        <f>TABLA_BASE[[#This Row],[TOTAL PAGO
SUNAT
UNIT.(US$)]]*TABLA_BASE[[#This Row],[CANTIDAD
(unid.)]]</f>
        <v>0</v>
      </c>
      <c r="AC49" s="284">
        <f>TABLA_BASE[[#This Row],[TOTAL PAGO
SUNAT
UNIT.(US$)]]*'📋 Datos Generales'!$E$19</f>
        <v>0</v>
      </c>
      <c r="AD49" s="284">
        <f>TABLA_BASE[[#This Row],[TOTAL TRIB.
UNIT.(S/.)]]*TABLA_BASE[[#This Row],[CANTIDAD
(unid.)]]</f>
        <v>0</v>
      </c>
      <c r="AE49" s="282">
        <f>IF('🧾 Factura Comercial'!G51=0,0,'📦 Gastos Importación'!$E$28*(IF('🧾 Tributos Aduana'!$F$6=0,0,'🧾 Factura Comercial'!I51/'🧾 Tributos Aduana'!$F$6))/'🧾 Factura Comercial'!G51)</f>
        <v>0</v>
      </c>
      <c r="AF49" s="282">
        <f>TABLA_BASE[[#This Row],[GASTOS IMP.
UNIT.(US$)]]*TABLA_BASE[[#This Row],[CANTIDAD
(unid.)]]</f>
        <v>0</v>
      </c>
      <c r="AG49" s="284">
        <f>TABLA_BASE[[#This Row],[GASTOS IMP.
UNIT.(US$)]]*'📋 Datos Generales'!$E$19</f>
        <v>0</v>
      </c>
      <c r="AH49" s="284">
        <f>TABLA_BASE[[#This Row],[GASTOS IMP.
UNIT.(S/.)]]*TABLA_BASE[[#This Row],[CANTIDAD
(unid.)]]</f>
        <v>0</v>
      </c>
      <c r="AI49" s="283">
        <f>'🧮 Costos x Producto'!J53</f>
        <v>0</v>
      </c>
      <c r="AJ49" s="282">
        <f>'🧮 Costos x Producto'!K53</f>
        <v>0</v>
      </c>
      <c r="AK49" s="282">
        <f>IF('🧾 Factura Comercial'!G51=0,0,'🧾 Tributos Aduana'!$F$17*(IF('🧾 Tributos Aduana'!$F$6=0,0,'🧾 Factura Comercial'!I51/'🧾 Tributos Aduana'!$F$6))/'🧾 Factura Comercial'!G51)</f>
        <v>0</v>
      </c>
      <c r="AL49" s="282">
        <f>IF('🧾 Factura Comercial'!G51=0,0,'🏦 Crédito Fiscal'!$C$16*(IF('🧾 Tributos Aduana'!$F$6=0,0,'🧾 Factura Comercial'!I51/'🧾 Tributos Aduana'!$F$6))/'🧾 Factura Comercial'!G51)</f>
        <v>0</v>
      </c>
      <c r="AM49" s="284">
        <f>TABLA_BASE[[#This Row],[CF UNIT.
✅RECUP.
(US$)]]*'📋 Datos Generales'!$E$19</f>
        <v>0</v>
      </c>
      <c r="AN49" s="281">
        <f>TABLA_BASE[[#This Row],[CF UNIT.
✅RECUP.(S/.)]]*TABLA_BASE[[#This Row],[CANTIDAD
(unid.)]]</f>
        <v>0</v>
      </c>
      <c r="AO49" s="298">
        <f>'💰 Precio de Venta'!G54</f>
        <v>0</v>
      </c>
      <c r="AP49" s="284">
        <f>'💰 Precio de Venta'!H54</f>
        <v>0</v>
      </c>
      <c r="AQ49" s="284">
        <f>'💰 Precio de Venta'!I54</f>
        <v>0</v>
      </c>
      <c r="AR49" s="281">
        <f>'💰 Precio de Venta'!J54</f>
        <v>0</v>
      </c>
      <c r="AS49" s="300">
        <f>'💰 Precio de Venta'!K54</f>
        <v>0</v>
      </c>
      <c r="AT49" s="281">
        <f>TABLA_BASE[[#This Row],[GANANCIA
UNIT.(S/.)]]*'🧾 Factura Comercial'!G51</f>
        <v>0</v>
      </c>
      <c r="AU49" s="280">
        <f>IF(TABLA_BASE[[#This Row],[PRECIO VTA.
c/IGV(S/.)]]=0,0,TABLA_BASE[[#This Row],[GANANCIA
UNIT.(S/.)]]/TABLA_BASE[[#This Row],[PRECIO VTA.
c/IGV(S/.)]])</f>
        <v>0</v>
      </c>
      <c r="AV49" s="280">
        <f>IF(TABLA_BASE[[#This Row],[C/M UNIT.
(S/.)]]=0,0,TABLA_BASE[[#This Row],[GANANCIA
UNIT.(S/.)]]/TABLA_BASE[[#This Row],[C/M UNIT.
(S/.)]])</f>
        <v>0</v>
      </c>
      <c r="AW49" s="277" t="str">
        <f>IF(TABLA_BASE[[#This Row],[MARGEN
%]]&gt;=0.5,"🟢 ALTO",IF(TABLA_BASE[[#This Row],[MARGEN
%]]&gt;=0.3,"🟡 MEDIO","🔴 BAJO"))</f>
        <v>🔴 BAJO</v>
      </c>
    </row>
    <row r="50" spans="1:49" ht="16.5" hidden="1" thickTop="1" thickBot="1" x14ac:dyDescent="0.3">
      <c r="A50" s="277">
        <f>'🧾 Factura Comercial'!E52</f>
        <v>0</v>
      </c>
      <c r="B50" s="277">
        <f>'🧾 Factura Comercial'!F52</f>
        <v>0</v>
      </c>
      <c r="C50" s="278">
        <f>'🧾 Factura Comercial'!G52</f>
        <v>0</v>
      </c>
      <c r="D50" s="279">
        <f>'🧾 Factura Comercial'!H52</f>
        <v>0</v>
      </c>
      <c r="E50" s="279">
        <f>'🧾 Factura Comercial'!I52</f>
        <v>0</v>
      </c>
      <c r="F50" s="280">
        <f>IF('🧾 Tributos Aduana'!$F$6=0,0,'🧾 Factura Comercial'!I52/'🧾 Tributos Aduana'!$F$6)</f>
        <v>0</v>
      </c>
      <c r="G50" s="281">
        <f>'🧾 Factura Comercial'!H52*'📋 Datos Generales'!$E$19</f>
        <v>0</v>
      </c>
      <c r="H50" s="281">
        <f>TABLA_BASE[[#This Row],[FOB UNIT.
(S/.)]]*TABLA_BASE[[#This Row],[CANTIDAD
(unid.)]]</f>
        <v>0</v>
      </c>
      <c r="I50" s="283">
        <f>IF('🧾 Tributos Aduana'!$F$6=0,0,'🧾 Tributos Aduana'!$F$17*('🧾 Factura Comercial'!H52/'🧾 Tributos Aduana'!$F$6))</f>
        <v>0</v>
      </c>
      <c r="J50" s="283">
        <f>TABLA_BASE[[#This Row],[ADV UNIT.
(US$)
⚠️COSTO]]*TABLA_BASE[[#This Row],[CANTIDAD
(unid.)]]</f>
        <v>0</v>
      </c>
      <c r="K50" s="282">
        <f>IF('🧾 Tributos Aduana'!$F$6=0,0,'🧾 Tributos Aduana'!$F$18*('🧾 Factura Comercial'!H52/'🧾 Tributos Aduana'!$F$6))</f>
        <v>0</v>
      </c>
      <c r="L50" s="283">
        <f>TABLA_BASE[[#This Row],[IPM UNIT.
(US$)
✅CF]]*TABLA_BASE[[#This Row],[CANTIDAD
(unid.)]]</f>
        <v>0</v>
      </c>
      <c r="M50" s="282">
        <f>IF('🧾 Tributos Aduana'!$F$6=0,0,'🧾 Tributos Aduana'!$F$19*('🧾 Factura Comercial'!H52/'🧾 Tributos Aduana'!$F$6))</f>
        <v>0</v>
      </c>
      <c r="N50" s="283">
        <f>TABLA_BASE[[#This Row],[IGV UNIT.
(US$)
✅CF]]*TABLA_BASE[[#This Row],[CANTIDAD
(unid.)]]</f>
        <v>0</v>
      </c>
      <c r="O50" s="283">
        <f>IF('🧾 Tributos Aduana'!$F$6=0,0,'🧾 Tributos Aduana'!$F$23*('🧾 Factura Comercial'!H52/'🧾 Tributos Aduana'!$F$6))</f>
        <v>0</v>
      </c>
      <c r="P50" s="283">
        <f>TABLA_BASE[[#This Row],[PERCEP.
UNIT.(US$)
✅CF]]*TABLA_BASE[[#This Row],[CANTIDAD
(unid.)]]</f>
        <v>0</v>
      </c>
      <c r="Q50" s="282">
        <f>TABLA_BASE[[#This Row],[ADV UNIT.
(US$)
⚠️COSTO]]+TABLA_BASE[[#This Row],[IPM UNIT.
(US$)
✅CF]]+TABLA_BASE[[#This Row],[IGV UNIT.
(US$)
✅CF]]</f>
        <v>0</v>
      </c>
      <c r="R50" s="283">
        <f>TABLA_BASE[[#This Row],[DEUDA
ADUANERA
UNIT.]]*TABLA_BASE[[#This Row],[CANTIDAD
(unid.)]]</f>
        <v>0</v>
      </c>
      <c r="S50" s="284">
        <f>TABLA_BASE[[#This Row],[ADV UNIT.
(US$)
⚠️COSTO]]*'📋 Datos Generales'!$E$19</f>
        <v>0</v>
      </c>
      <c r="T50" s="284">
        <f>TABLA_BASE[[#This Row],[ADV UNIT.
(S/.)]]*TABLA_BASE[[#This Row],[CANTIDAD
(unid.)]]</f>
        <v>0</v>
      </c>
      <c r="U50" s="284">
        <f>TABLA_BASE[[#This Row],[IPM UNIT.
(US$)
✅CF]]*'📋 Datos Generales'!$E$19</f>
        <v>0</v>
      </c>
      <c r="V50" s="284">
        <f>TABLA_BASE[[#This Row],[IPM UNIT.
(S/.)]]*TABLA_BASE[[#This Row],[CANTIDAD
(unid.)]]</f>
        <v>0</v>
      </c>
      <c r="W50" s="284">
        <f>TABLA_BASE[[#This Row],[IGV UNIT.
(US$)
✅CF]]*'📋 Datos Generales'!$E$19</f>
        <v>0</v>
      </c>
      <c r="X50" s="284">
        <f>TABLA_BASE[[#This Row],[IGV UNIT.
(S/.)]]*TABLA_BASE[[#This Row],[CANTIDAD
(unid.)]]</f>
        <v>0</v>
      </c>
      <c r="Y50" s="284">
        <f>TABLA_BASE[[#This Row],[PERCEP.
UNIT.(US$)
✅CF]]*'📋 Datos Generales'!$E$19</f>
        <v>0</v>
      </c>
      <c r="Z50" s="284">
        <f>TABLA_BASE[[#This Row],[PERCEP.
UNIT.(S/.)]]*TABLA_BASE[[#This Row],[CANTIDAD
(unid.)]]</f>
        <v>0</v>
      </c>
      <c r="AA50" s="282">
        <f>TABLA_BASE[[#This Row],[ADV UNIT.
(US$)
⚠️COSTO]]+TABLA_BASE[[#This Row],[IPM UNIT.
(US$)
✅CF]]+TABLA_BASE[[#This Row],[IGV UNIT.
(US$)
✅CF]]+TABLA_BASE[[#This Row],[PERCEP.
UNIT.(US$)
✅CF]]</f>
        <v>0</v>
      </c>
      <c r="AB50" s="282">
        <f>TABLA_BASE[[#This Row],[TOTAL PAGO
SUNAT
UNIT.(US$)]]*TABLA_BASE[[#This Row],[CANTIDAD
(unid.)]]</f>
        <v>0</v>
      </c>
      <c r="AC50" s="284">
        <f>TABLA_BASE[[#This Row],[TOTAL PAGO
SUNAT
UNIT.(US$)]]*'📋 Datos Generales'!$E$19</f>
        <v>0</v>
      </c>
      <c r="AD50" s="284">
        <f>TABLA_BASE[[#This Row],[TOTAL TRIB.
UNIT.(S/.)]]*TABLA_BASE[[#This Row],[CANTIDAD
(unid.)]]</f>
        <v>0</v>
      </c>
      <c r="AE50" s="282">
        <f>IF('🧾 Factura Comercial'!G52=0,0,'📦 Gastos Importación'!$E$28*(IF('🧾 Tributos Aduana'!$F$6=0,0,'🧾 Factura Comercial'!I52/'🧾 Tributos Aduana'!$F$6))/'🧾 Factura Comercial'!G52)</f>
        <v>0</v>
      </c>
      <c r="AF50" s="282">
        <f>TABLA_BASE[[#This Row],[GASTOS IMP.
UNIT.(US$)]]*TABLA_BASE[[#This Row],[CANTIDAD
(unid.)]]</f>
        <v>0</v>
      </c>
      <c r="AG50" s="284">
        <f>TABLA_BASE[[#This Row],[GASTOS IMP.
UNIT.(US$)]]*'📋 Datos Generales'!$E$19</f>
        <v>0</v>
      </c>
      <c r="AH50" s="284">
        <f>TABLA_BASE[[#This Row],[GASTOS IMP.
UNIT.(S/.)]]*TABLA_BASE[[#This Row],[CANTIDAD
(unid.)]]</f>
        <v>0</v>
      </c>
      <c r="AI50" s="283">
        <f>'🧮 Costos x Producto'!J54</f>
        <v>0</v>
      </c>
      <c r="AJ50" s="282">
        <f>'🧮 Costos x Producto'!K54</f>
        <v>0</v>
      </c>
      <c r="AK50" s="282">
        <f>IF('🧾 Factura Comercial'!G52=0,0,'🧾 Tributos Aduana'!$F$17*(IF('🧾 Tributos Aduana'!$F$6=0,0,'🧾 Factura Comercial'!I52/'🧾 Tributos Aduana'!$F$6))/'🧾 Factura Comercial'!G52)</f>
        <v>0</v>
      </c>
      <c r="AL50" s="282">
        <f>IF('🧾 Factura Comercial'!G52=0,0,'🏦 Crédito Fiscal'!$C$16*(IF('🧾 Tributos Aduana'!$F$6=0,0,'🧾 Factura Comercial'!I52/'🧾 Tributos Aduana'!$F$6))/'🧾 Factura Comercial'!G52)</f>
        <v>0</v>
      </c>
      <c r="AM50" s="284">
        <f>TABLA_BASE[[#This Row],[CF UNIT.
✅RECUP.
(US$)]]*'📋 Datos Generales'!$E$19</f>
        <v>0</v>
      </c>
      <c r="AN50" s="281">
        <f>TABLA_BASE[[#This Row],[CF UNIT.
✅RECUP.(S/.)]]*TABLA_BASE[[#This Row],[CANTIDAD
(unid.)]]</f>
        <v>0</v>
      </c>
      <c r="AO50" s="298">
        <f>'💰 Precio de Venta'!G55</f>
        <v>0</v>
      </c>
      <c r="AP50" s="284">
        <f>'💰 Precio de Venta'!H55</f>
        <v>0</v>
      </c>
      <c r="AQ50" s="284">
        <f>'💰 Precio de Venta'!I55</f>
        <v>0</v>
      </c>
      <c r="AR50" s="281">
        <f>'💰 Precio de Venta'!J55</f>
        <v>0</v>
      </c>
      <c r="AS50" s="300">
        <f>'💰 Precio de Venta'!K55</f>
        <v>0</v>
      </c>
      <c r="AT50" s="281">
        <f>TABLA_BASE[[#This Row],[GANANCIA
UNIT.(S/.)]]*'🧾 Factura Comercial'!G52</f>
        <v>0</v>
      </c>
      <c r="AU50" s="280">
        <f>IF(TABLA_BASE[[#This Row],[PRECIO VTA.
c/IGV(S/.)]]=0,0,TABLA_BASE[[#This Row],[GANANCIA
UNIT.(S/.)]]/TABLA_BASE[[#This Row],[PRECIO VTA.
c/IGV(S/.)]])</f>
        <v>0</v>
      </c>
      <c r="AV50" s="280">
        <f>IF(TABLA_BASE[[#This Row],[C/M UNIT.
(S/.)]]=0,0,TABLA_BASE[[#This Row],[GANANCIA
UNIT.(S/.)]]/TABLA_BASE[[#This Row],[C/M UNIT.
(S/.)]])</f>
        <v>0</v>
      </c>
      <c r="AW50" s="277" t="str">
        <f>IF(TABLA_BASE[[#This Row],[MARGEN
%]]&gt;=0.5,"🟢 ALTO",IF(TABLA_BASE[[#This Row],[MARGEN
%]]&gt;=0.3,"🟡 MEDIO","🔴 BAJO"))</f>
        <v>🔴 BAJO</v>
      </c>
    </row>
    <row r="51" spans="1:49" ht="16.5" hidden="1" thickTop="1" thickBot="1" x14ac:dyDescent="0.3">
      <c r="A51" s="277">
        <f>'🧾 Factura Comercial'!E53</f>
        <v>0</v>
      </c>
      <c r="B51" s="277">
        <f>'🧾 Factura Comercial'!F53</f>
        <v>0</v>
      </c>
      <c r="C51" s="278">
        <f>'🧾 Factura Comercial'!G53</f>
        <v>0</v>
      </c>
      <c r="D51" s="279">
        <f>'🧾 Factura Comercial'!H53</f>
        <v>0</v>
      </c>
      <c r="E51" s="279">
        <f>'🧾 Factura Comercial'!I53</f>
        <v>0</v>
      </c>
      <c r="F51" s="280">
        <f>IF('🧾 Tributos Aduana'!$F$6=0,0,'🧾 Factura Comercial'!I53/'🧾 Tributos Aduana'!$F$6)</f>
        <v>0</v>
      </c>
      <c r="G51" s="281">
        <f>'🧾 Factura Comercial'!H53*'📋 Datos Generales'!$E$19</f>
        <v>0</v>
      </c>
      <c r="H51" s="281">
        <f>TABLA_BASE[[#This Row],[FOB UNIT.
(S/.)]]*TABLA_BASE[[#This Row],[CANTIDAD
(unid.)]]</f>
        <v>0</v>
      </c>
      <c r="I51" s="283">
        <f>IF('🧾 Tributos Aduana'!$F$6=0,0,'🧾 Tributos Aduana'!$F$17*('🧾 Factura Comercial'!H53/'🧾 Tributos Aduana'!$F$6))</f>
        <v>0</v>
      </c>
      <c r="J51" s="283">
        <f>TABLA_BASE[[#This Row],[ADV UNIT.
(US$)
⚠️COSTO]]*TABLA_BASE[[#This Row],[CANTIDAD
(unid.)]]</f>
        <v>0</v>
      </c>
      <c r="K51" s="282">
        <f>IF('🧾 Tributos Aduana'!$F$6=0,0,'🧾 Tributos Aduana'!$F$18*('🧾 Factura Comercial'!H53/'🧾 Tributos Aduana'!$F$6))</f>
        <v>0</v>
      </c>
      <c r="L51" s="283">
        <f>TABLA_BASE[[#This Row],[IPM UNIT.
(US$)
✅CF]]*TABLA_BASE[[#This Row],[CANTIDAD
(unid.)]]</f>
        <v>0</v>
      </c>
      <c r="M51" s="282">
        <f>IF('🧾 Tributos Aduana'!$F$6=0,0,'🧾 Tributos Aduana'!$F$19*('🧾 Factura Comercial'!H53/'🧾 Tributos Aduana'!$F$6))</f>
        <v>0</v>
      </c>
      <c r="N51" s="283">
        <f>TABLA_BASE[[#This Row],[IGV UNIT.
(US$)
✅CF]]*TABLA_BASE[[#This Row],[CANTIDAD
(unid.)]]</f>
        <v>0</v>
      </c>
      <c r="O51" s="283">
        <f>IF('🧾 Tributos Aduana'!$F$6=0,0,'🧾 Tributos Aduana'!$F$23*('🧾 Factura Comercial'!H53/'🧾 Tributos Aduana'!$F$6))</f>
        <v>0</v>
      </c>
      <c r="P51" s="283">
        <f>TABLA_BASE[[#This Row],[PERCEP.
UNIT.(US$)
✅CF]]*TABLA_BASE[[#This Row],[CANTIDAD
(unid.)]]</f>
        <v>0</v>
      </c>
      <c r="Q51" s="282">
        <f>TABLA_BASE[[#This Row],[ADV UNIT.
(US$)
⚠️COSTO]]+TABLA_BASE[[#This Row],[IPM UNIT.
(US$)
✅CF]]+TABLA_BASE[[#This Row],[IGV UNIT.
(US$)
✅CF]]</f>
        <v>0</v>
      </c>
      <c r="R51" s="283">
        <f>TABLA_BASE[[#This Row],[DEUDA
ADUANERA
UNIT.]]*TABLA_BASE[[#This Row],[CANTIDAD
(unid.)]]</f>
        <v>0</v>
      </c>
      <c r="S51" s="284">
        <f>TABLA_BASE[[#This Row],[ADV UNIT.
(US$)
⚠️COSTO]]*'📋 Datos Generales'!$E$19</f>
        <v>0</v>
      </c>
      <c r="T51" s="284">
        <f>TABLA_BASE[[#This Row],[ADV UNIT.
(S/.)]]*TABLA_BASE[[#This Row],[CANTIDAD
(unid.)]]</f>
        <v>0</v>
      </c>
      <c r="U51" s="284">
        <f>TABLA_BASE[[#This Row],[IPM UNIT.
(US$)
✅CF]]*'📋 Datos Generales'!$E$19</f>
        <v>0</v>
      </c>
      <c r="V51" s="284">
        <f>TABLA_BASE[[#This Row],[IPM UNIT.
(S/.)]]*TABLA_BASE[[#This Row],[CANTIDAD
(unid.)]]</f>
        <v>0</v>
      </c>
      <c r="W51" s="284">
        <f>TABLA_BASE[[#This Row],[IGV UNIT.
(US$)
✅CF]]*'📋 Datos Generales'!$E$19</f>
        <v>0</v>
      </c>
      <c r="X51" s="284">
        <f>TABLA_BASE[[#This Row],[IGV UNIT.
(S/.)]]*TABLA_BASE[[#This Row],[CANTIDAD
(unid.)]]</f>
        <v>0</v>
      </c>
      <c r="Y51" s="284">
        <f>TABLA_BASE[[#This Row],[PERCEP.
UNIT.(US$)
✅CF]]*'📋 Datos Generales'!$E$19</f>
        <v>0</v>
      </c>
      <c r="Z51" s="284">
        <f>TABLA_BASE[[#This Row],[PERCEP.
UNIT.(S/.)]]*TABLA_BASE[[#This Row],[CANTIDAD
(unid.)]]</f>
        <v>0</v>
      </c>
      <c r="AA51" s="282">
        <f>TABLA_BASE[[#This Row],[ADV UNIT.
(US$)
⚠️COSTO]]+TABLA_BASE[[#This Row],[IPM UNIT.
(US$)
✅CF]]+TABLA_BASE[[#This Row],[IGV UNIT.
(US$)
✅CF]]+TABLA_BASE[[#This Row],[PERCEP.
UNIT.(US$)
✅CF]]</f>
        <v>0</v>
      </c>
      <c r="AB51" s="282">
        <f>TABLA_BASE[[#This Row],[TOTAL PAGO
SUNAT
UNIT.(US$)]]*TABLA_BASE[[#This Row],[CANTIDAD
(unid.)]]</f>
        <v>0</v>
      </c>
      <c r="AC51" s="284">
        <f>TABLA_BASE[[#This Row],[TOTAL PAGO
SUNAT
UNIT.(US$)]]*'📋 Datos Generales'!$E$19</f>
        <v>0</v>
      </c>
      <c r="AD51" s="284">
        <f>TABLA_BASE[[#This Row],[TOTAL TRIB.
UNIT.(S/.)]]*TABLA_BASE[[#This Row],[CANTIDAD
(unid.)]]</f>
        <v>0</v>
      </c>
      <c r="AE51" s="282">
        <f>IF('🧾 Factura Comercial'!G53=0,0,'📦 Gastos Importación'!$E$28*(IF('🧾 Tributos Aduana'!$F$6=0,0,'🧾 Factura Comercial'!I53/'🧾 Tributos Aduana'!$F$6))/'🧾 Factura Comercial'!G53)</f>
        <v>0</v>
      </c>
      <c r="AF51" s="282">
        <f>TABLA_BASE[[#This Row],[GASTOS IMP.
UNIT.(US$)]]*TABLA_BASE[[#This Row],[CANTIDAD
(unid.)]]</f>
        <v>0</v>
      </c>
      <c r="AG51" s="284">
        <f>TABLA_BASE[[#This Row],[GASTOS IMP.
UNIT.(US$)]]*'📋 Datos Generales'!$E$19</f>
        <v>0</v>
      </c>
      <c r="AH51" s="284">
        <f>TABLA_BASE[[#This Row],[GASTOS IMP.
UNIT.(S/.)]]*TABLA_BASE[[#This Row],[CANTIDAD
(unid.)]]</f>
        <v>0</v>
      </c>
      <c r="AI51" s="283">
        <f>'🧮 Costos x Producto'!J55</f>
        <v>0</v>
      </c>
      <c r="AJ51" s="282">
        <f>'🧮 Costos x Producto'!K55</f>
        <v>0</v>
      </c>
      <c r="AK51" s="282">
        <f>IF('🧾 Factura Comercial'!G53=0,0,'🧾 Tributos Aduana'!$F$17*(IF('🧾 Tributos Aduana'!$F$6=0,0,'🧾 Factura Comercial'!I53/'🧾 Tributos Aduana'!$F$6))/'🧾 Factura Comercial'!G53)</f>
        <v>0</v>
      </c>
      <c r="AL51" s="282">
        <f>IF('🧾 Factura Comercial'!G53=0,0,'🏦 Crédito Fiscal'!$C$16*(IF('🧾 Tributos Aduana'!$F$6=0,0,'🧾 Factura Comercial'!I53/'🧾 Tributos Aduana'!$F$6))/'🧾 Factura Comercial'!G53)</f>
        <v>0</v>
      </c>
      <c r="AM51" s="284">
        <f>TABLA_BASE[[#This Row],[CF UNIT.
✅RECUP.
(US$)]]*'📋 Datos Generales'!$E$19</f>
        <v>0</v>
      </c>
      <c r="AN51" s="281">
        <f>TABLA_BASE[[#This Row],[CF UNIT.
✅RECUP.(S/.)]]*TABLA_BASE[[#This Row],[CANTIDAD
(unid.)]]</f>
        <v>0</v>
      </c>
      <c r="AO51" s="298">
        <f>'💰 Precio de Venta'!G56</f>
        <v>0</v>
      </c>
      <c r="AP51" s="284">
        <f>'💰 Precio de Venta'!H56</f>
        <v>0</v>
      </c>
      <c r="AQ51" s="284">
        <f>'💰 Precio de Venta'!I56</f>
        <v>0</v>
      </c>
      <c r="AR51" s="281">
        <f>'💰 Precio de Venta'!J56</f>
        <v>0</v>
      </c>
      <c r="AS51" s="300">
        <f>'💰 Precio de Venta'!K56</f>
        <v>0</v>
      </c>
      <c r="AT51" s="281">
        <f>TABLA_BASE[[#This Row],[GANANCIA
UNIT.(S/.)]]*'🧾 Factura Comercial'!G53</f>
        <v>0</v>
      </c>
      <c r="AU51" s="280">
        <f>IF(TABLA_BASE[[#This Row],[PRECIO VTA.
c/IGV(S/.)]]=0,0,TABLA_BASE[[#This Row],[GANANCIA
UNIT.(S/.)]]/TABLA_BASE[[#This Row],[PRECIO VTA.
c/IGV(S/.)]])</f>
        <v>0</v>
      </c>
      <c r="AV51" s="280">
        <f>IF(TABLA_BASE[[#This Row],[C/M UNIT.
(S/.)]]=0,0,TABLA_BASE[[#This Row],[GANANCIA
UNIT.(S/.)]]/TABLA_BASE[[#This Row],[C/M UNIT.
(S/.)]])</f>
        <v>0</v>
      </c>
      <c r="AW51" s="277" t="str">
        <f>IF(TABLA_BASE[[#This Row],[MARGEN
%]]&gt;=0.5,"🟢 ALTO",IF(TABLA_BASE[[#This Row],[MARGEN
%]]&gt;=0.3,"🟡 MEDIO","🔴 BAJO"))</f>
        <v>🔴 BAJO</v>
      </c>
    </row>
    <row r="52" spans="1:49" ht="16.5" hidden="1" thickTop="1" thickBot="1" x14ac:dyDescent="0.3">
      <c r="A52" s="277">
        <f>'🧾 Factura Comercial'!E54</f>
        <v>0</v>
      </c>
      <c r="B52" s="277">
        <f>'🧾 Factura Comercial'!F54</f>
        <v>0</v>
      </c>
      <c r="C52" s="278">
        <f>'🧾 Factura Comercial'!G54</f>
        <v>0</v>
      </c>
      <c r="D52" s="279">
        <f>'🧾 Factura Comercial'!H54</f>
        <v>0</v>
      </c>
      <c r="E52" s="279">
        <f>'🧾 Factura Comercial'!I54</f>
        <v>0</v>
      </c>
      <c r="F52" s="280">
        <f>IF('🧾 Tributos Aduana'!$F$6=0,0,'🧾 Factura Comercial'!I54/'🧾 Tributos Aduana'!$F$6)</f>
        <v>0</v>
      </c>
      <c r="G52" s="281">
        <f>'🧾 Factura Comercial'!H54*'📋 Datos Generales'!$E$19</f>
        <v>0</v>
      </c>
      <c r="H52" s="281">
        <f>TABLA_BASE[[#This Row],[FOB UNIT.
(S/.)]]*TABLA_BASE[[#This Row],[CANTIDAD
(unid.)]]</f>
        <v>0</v>
      </c>
      <c r="I52" s="283">
        <f>IF('🧾 Tributos Aduana'!$F$6=0,0,'🧾 Tributos Aduana'!$F$17*('🧾 Factura Comercial'!H54/'🧾 Tributos Aduana'!$F$6))</f>
        <v>0</v>
      </c>
      <c r="J52" s="283">
        <f>TABLA_BASE[[#This Row],[ADV UNIT.
(US$)
⚠️COSTO]]*TABLA_BASE[[#This Row],[CANTIDAD
(unid.)]]</f>
        <v>0</v>
      </c>
      <c r="K52" s="282">
        <f>IF('🧾 Tributos Aduana'!$F$6=0,0,'🧾 Tributos Aduana'!$F$18*('🧾 Factura Comercial'!H54/'🧾 Tributos Aduana'!$F$6))</f>
        <v>0</v>
      </c>
      <c r="L52" s="283">
        <f>TABLA_BASE[[#This Row],[IPM UNIT.
(US$)
✅CF]]*TABLA_BASE[[#This Row],[CANTIDAD
(unid.)]]</f>
        <v>0</v>
      </c>
      <c r="M52" s="282">
        <f>IF('🧾 Tributos Aduana'!$F$6=0,0,'🧾 Tributos Aduana'!$F$19*('🧾 Factura Comercial'!H54/'🧾 Tributos Aduana'!$F$6))</f>
        <v>0</v>
      </c>
      <c r="N52" s="283">
        <f>TABLA_BASE[[#This Row],[IGV UNIT.
(US$)
✅CF]]*TABLA_BASE[[#This Row],[CANTIDAD
(unid.)]]</f>
        <v>0</v>
      </c>
      <c r="O52" s="283">
        <f>IF('🧾 Tributos Aduana'!$F$6=0,0,'🧾 Tributos Aduana'!$F$23*('🧾 Factura Comercial'!H54/'🧾 Tributos Aduana'!$F$6))</f>
        <v>0</v>
      </c>
      <c r="P52" s="283">
        <f>TABLA_BASE[[#This Row],[PERCEP.
UNIT.(US$)
✅CF]]*TABLA_BASE[[#This Row],[CANTIDAD
(unid.)]]</f>
        <v>0</v>
      </c>
      <c r="Q52" s="282">
        <f>TABLA_BASE[[#This Row],[ADV UNIT.
(US$)
⚠️COSTO]]+TABLA_BASE[[#This Row],[IPM UNIT.
(US$)
✅CF]]+TABLA_BASE[[#This Row],[IGV UNIT.
(US$)
✅CF]]</f>
        <v>0</v>
      </c>
      <c r="R52" s="283">
        <f>TABLA_BASE[[#This Row],[DEUDA
ADUANERA
UNIT.]]*TABLA_BASE[[#This Row],[CANTIDAD
(unid.)]]</f>
        <v>0</v>
      </c>
      <c r="S52" s="284">
        <f>TABLA_BASE[[#This Row],[ADV UNIT.
(US$)
⚠️COSTO]]*'📋 Datos Generales'!$E$19</f>
        <v>0</v>
      </c>
      <c r="T52" s="284">
        <f>TABLA_BASE[[#This Row],[ADV UNIT.
(S/.)]]*TABLA_BASE[[#This Row],[CANTIDAD
(unid.)]]</f>
        <v>0</v>
      </c>
      <c r="U52" s="284">
        <f>TABLA_BASE[[#This Row],[IPM UNIT.
(US$)
✅CF]]*'📋 Datos Generales'!$E$19</f>
        <v>0</v>
      </c>
      <c r="V52" s="284">
        <f>TABLA_BASE[[#This Row],[IPM UNIT.
(S/.)]]*TABLA_BASE[[#This Row],[CANTIDAD
(unid.)]]</f>
        <v>0</v>
      </c>
      <c r="W52" s="284">
        <f>TABLA_BASE[[#This Row],[IGV UNIT.
(US$)
✅CF]]*'📋 Datos Generales'!$E$19</f>
        <v>0</v>
      </c>
      <c r="X52" s="284">
        <f>TABLA_BASE[[#This Row],[IGV UNIT.
(S/.)]]*TABLA_BASE[[#This Row],[CANTIDAD
(unid.)]]</f>
        <v>0</v>
      </c>
      <c r="Y52" s="284">
        <f>TABLA_BASE[[#This Row],[PERCEP.
UNIT.(US$)
✅CF]]*'📋 Datos Generales'!$E$19</f>
        <v>0</v>
      </c>
      <c r="Z52" s="284">
        <f>TABLA_BASE[[#This Row],[PERCEP.
UNIT.(S/.)]]*TABLA_BASE[[#This Row],[CANTIDAD
(unid.)]]</f>
        <v>0</v>
      </c>
      <c r="AA52" s="282">
        <f>TABLA_BASE[[#This Row],[ADV UNIT.
(US$)
⚠️COSTO]]+TABLA_BASE[[#This Row],[IPM UNIT.
(US$)
✅CF]]+TABLA_BASE[[#This Row],[IGV UNIT.
(US$)
✅CF]]+TABLA_BASE[[#This Row],[PERCEP.
UNIT.(US$)
✅CF]]</f>
        <v>0</v>
      </c>
      <c r="AB52" s="282">
        <f>TABLA_BASE[[#This Row],[TOTAL PAGO
SUNAT
UNIT.(US$)]]*TABLA_BASE[[#This Row],[CANTIDAD
(unid.)]]</f>
        <v>0</v>
      </c>
      <c r="AC52" s="284">
        <f>TABLA_BASE[[#This Row],[TOTAL PAGO
SUNAT
UNIT.(US$)]]*'📋 Datos Generales'!$E$19</f>
        <v>0</v>
      </c>
      <c r="AD52" s="284">
        <f>TABLA_BASE[[#This Row],[TOTAL TRIB.
UNIT.(S/.)]]*TABLA_BASE[[#This Row],[CANTIDAD
(unid.)]]</f>
        <v>0</v>
      </c>
      <c r="AE52" s="282">
        <f>IF('🧾 Factura Comercial'!G54=0,0,'📦 Gastos Importación'!$E$28*(IF('🧾 Tributos Aduana'!$F$6=0,0,'🧾 Factura Comercial'!I54/'🧾 Tributos Aduana'!$F$6))/'🧾 Factura Comercial'!G54)</f>
        <v>0</v>
      </c>
      <c r="AF52" s="282">
        <f>TABLA_BASE[[#This Row],[GASTOS IMP.
UNIT.(US$)]]*TABLA_BASE[[#This Row],[CANTIDAD
(unid.)]]</f>
        <v>0</v>
      </c>
      <c r="AG52" s="284">
        <f>TABLA_BASE[[#This Row],[GASTOS IMP.
UNIT.(US$)]]*'📋 Datos Generales'!$E$19</f>
        <v>0</v>
      </c>
      <c r="AH52" s="284">
        <f>TABLA_BASE[[#This Row],[GASTOS IMP.
UNIT.(S/.)]]*TABLA_BASE[[#This Row],[CANTIDAD
(unid.)]]</f>
        <v>0</v>
      </c>
      <c r="AI52" s="283">
        <f>'🧮 Costos x Producto'!J56</f>
        <v>0</v>
      </c>
      <c r="AJ52" s="282">
        <f>'🧮 Costos x Producto'!K56</f>
        <v>0</v>
      </c>
      <c r="AK52" s="282">
        <f>IF('🧾 Factura Comercial'!G54=0,0,'🧾 Tributos Aduana'!$F$17*(IF('🧾 Tributos Aduana'!$F$6=0,0,'🧾 Factura Comercial'!I54/'🧾 Tributos Aduana'!$F$6))/'🧾 Factura Comercial'!G54)</f>
        <v>0</v>
      </c>
      <c r="AL52" s="282">
        <f>IF('🧾 Factura Comercial'!G54=0,0,'🏦 Crédito Fiscal'!$C$16*(IF('🧾 Tributos Aduana'!$F$6=0,0,'🧾 Factura Comercial'!I54/'🧾 Tributos Aduana'!$F$6))/'🧾 Factura Comercial'!G54)</f>
        <v>0</v>
      </c>
      <c r="AM52" s="284">
        <f>TABLA_BASE[[#This Row],[CF UNIT.
✅RECUP.
(US$)]]*'📋 Datos Generales'!$E$19</f>
        <v>0</v>
      </c>
      <c r="AN52" s="281">
        <f>TABLA_BASE[[#This Row],[CF UNIT.
✅RECUP.(S/.)]]*TABLA_BASE[[#This Row],[CANTIDAD
(unid.)]]</f>
        <v>0</v>
      </c>
      <c r="AO52" s="298">
        <f>'💰 Precio de Venta'!G57</f>
        <v>0</v>
      </c>
      <c r="AP52" s="284">
        <f>'💰 Precio de Venta'!H57</f>
        <v>0</v>
      </c>
      <c r="AQ52" s="284">
        <f>'💰 Precio de Venta'!I57</f>
        <v>0</v>
      </c>
      <c r="AR52" s="281">
        <f>'💰 Precio de Venta'!J57</f>
        <v>0</v>
      </c>
      <c r="AS52" s="300">
        <f>'💰 Precio de Venta'!K57</f>
        <v>0</v>
      </c>
      <c r="AT52" s="281">
        <f>TABLA_BASE[[#This Row],[GANANCIA
UNIT.(S/.)]]*'🧾 Factura Comercial'!G54</f>
        <v>0</v>
      </c>
      <c r="AU52" s="280">
        <f>IF(TABLA_BASE[[#This Row],[PRECIO VTA.
c/IGV(S/.)]]=0,0,TABLA_BASE[[#This Row],[GANANCIA
UNIT.(S/.)]]/TABLA_BASE[[#This Row],[PRECIO VTA.
c/IGV(S/.)]])</f>
        <v>0</v>
      </c>
      <c r="AV52" s="280">
        <f>IF(TABLA_BASE[[#This Row],[C/M UNIT.
(S/.)]]=0,0,TABLA_BASE[[#This Row],[GANANCIA
UNIT.(S/.)]]/TABLA_BASE[[#This Row],[C/M UNIT.
(S/.)]])</f>
        <v>0</v>
      </c>
      <c r="AW52" s="277" t="str">
        <f>IF(TABLA_BASE[[#This Row],[MARGEN
%]]&gt;=0.5,"🟢 ALTO",IF(TABLA_BASE[[#This Row],[MARGEN
%]]&gt;=0.3,"🟡 MEDIO","🔴 BAJO"))</f>
        <v>🔴 BAJO</v>
      </c>
    </row>
    <row r="53" spans="1:49" ht="16.5" hidden="1" thickTop="1" thickBot="1" x14ac:dyDescent="0.3">
      <c r="A53" s="277">
        <f>'🧾 Factura Comercial'!E55</f>
        <v>0</v>
      </c>
      <c r="B53" s="277">
        <f>'🧾 Factura Comercial'!F55</f>
        <v>0</v>
      </c>
      <c r="C53" s="278">
        <f>'🧾 Factura Comercial'!G55</f>
        <v>0</v>
      </c>
      <c r="D53" s="279">
        <f>'🧾 Factura Comercial'!H55</f>
        <v>0</v>
      </c>
      <c r="E53" s="279">
        <f>'🧾 Factura Comercial'!I55</f>
        <v>0</v>
      </c>
      <c r="F53" s="280">
        <f>IF('🧾 Tributos Aduana'!$F$6=0,0,'🧾 Factura Comercial'!I55/'🧾 Tributos Aduana'!$F$6)</f>
        <v>0</v>
      </c>
      <c r="G53" s="281">
        <f>'🧾 Factura Comercial'!H55*'📋 Datos Generales'!$E$19</f>
        <v>0</v>
      </c>
      <c r="H53" s="281">
        <f>TABLA_BASE[[#This Row],[FOB UNIT.
(S/.)]]*TABLA_BASE[[#This Row],[CANTIDAD
(unid.)]]</f>
        <v>0</v>
      </c>
      <c r="I53" s="283">
        <f>IF('🧾 Tributos Aduana'!$F$6=0,0,'🧾 Tributos Aduana'!$F$17*('🧾 Factura Comercial'!H55/'🧾 Tributos Aduana'!$F$6))</f>
        <v>0</v>
      </c>
      <c r="J53" s="283">
        <f>TABLA_BASE[[#This Row],[ADV UNIT.
(US$)
⚠️COSTO]]*TABLA_BASE[[#This Row],[CANTIDAD
(unid.)]]</f>
        <v>0</v>
      </c>
      <c r="K53" s="282">
        <f>IF('🧾 Tributos Aduana'!$F$6=0,0,'🧾 Tributos Aduana'!$F$18*('🧾 Factura Comercial'!H55/'🧾 Tributos Aduana'!$F$6))</f>
        <v>0</v>
      </c>
      <c r="L53" s="283">
        <f>TABLA_BASE[[#This Row],[IPM UNIT.
(US$)
✅CF]]*TABLA_BASE[[#This Row],[CANTIDAD
(unid.)]]</f>
        <v>0</v>
      </c>
      <c r="M53" s="282">
        <f>IF('🧾 Tributos Aduana'!$F$6=0,0,'🧾 Tributos Aduana'!$F$19*('🧾 Factura Comercial'!H55/'🧾 Tributos Aduana'!$F$6))</f>
        <v>0</v>
      </c>
      <c r="N53" s="283">
        <f>TABLA_BASE[[#This Row],[IGV UNIT.
(US$)
✅CF]]*TABLA_BASE[[#This Row],[CANTIDAD
(unid.)]]</f>
        <v>0</v>
      </c>
      <c r="O53" s="283">
        <f>IF('🧾 Tributos Aduana'!$F$6=0,0,'🧾 Tributos Aduana'!$F$23*('🧾 Factura Comercial'!H55/'🧾 Tributos Aduana'!$F$6))</f>
        <v>0</v>
      </c>
      <c r="P53" s="283">
        <f>TABLA_BASE[[#This Row],[PERCEP.
UNIT.(US$)
✅CF]]*TABLA_BASE[[#This Row],[CANTIDAD
(unid.)]]</f>
        <v>0</v>
      </c>
      <c r="Q53" s="282">
        <f>TABLA_BASE[[#This Row],[ADV UNIT.
(US$)
⚠️COSTO]]+TABLA_BASE[[#This Row],[IPM UNIT.
(US$)
✅CF]]+TABLA_BASE[[#This Row],[IGV UNIT.
(US$)
✅CF]]</f>
        <v>0</v>
      </c>
      <c r="R53" s="283">
        <f>TABLA_BASE[[#This Row],[DEUDA
ADUANERA
UNIT.]]*TABLA_BASE[[#This Row],[CANTIDAD
(unid.)]]</f>
        <v>0</v>
      </c>
      <c r="S53" s="284">
        <f>TABLA_BASE[[#This Row],[ADV UNIT.
(US$)
⚠️COSTO]]*'📋 Datos Generales'!$E$19</f>
        <v>0</v>
      </c>
      <c r="T53" s="284">
        <f>TABLA_BASE[[#This Row],[ADV UNIT.
(S/.)]]*TABLA_BASE[[#This Row],[CANTIDAD
(unid.)]]</f>
        <v>0</v>
      </c>
      <c r="U53" s="284">
        <f>TABLA_BASE[[#This Row],[IPM UNIT.
(US$)
✅CF]]*'📋 Datos Generales'!$E$19</f>
        <v>0</v>
      </c>
      <c r="V53" s="284">
        <f>TABLA_BASE[[#This Row],[IPM UNIT.
(S/.)]]*TABLA_BASE[[#This Row],[CANTIDAD
(unid.)]]</f>
        <v>0</v>
      </c>
      <c r="W53" s="284">
        <f>TABLA_BASE[[#This Row],[IGV UNIT.
(US$)
✅CF]]*'📋 Datos Generales'!$E$19</f>
        <v>0</v>
      </c>
      <c r="X53" s="284">
        <f>TABLA_BASE[[#This Row],[IGV UNIT.
(S/.)]]*TABLA_BASE[[#This Row],[CANTIDAD
(unid.)]]</f>
        <v>0</v>
      </c>
      <c r="Y53" s="284">
        <f>TABLA_BASE[[#This Row],[PERCEP.
UNIT.(US$)
✅CF]]*'📋 Datos Generales'!$E$19</f>
        <v>0</v>
      </c>
      <c r="Z53" s="284">
        <f>TABLA_BASE[[#This Row],[PERCEP.
UNIT.(S/.)]]*TABLA_BASE[[#This Row],[CANTIDAD
(unid.)]]</f>
        <v>0</v>
      </c>
      <c r="AA53" s="282">
        <f>TABLA_BASE[[#This Row],[ADV UNIT.
(US$)
⚠️COSTO]]+TABLA_BASE[[#This Row],[IPM UNIT.
(US$)
✅CF]]+TABLA_BASE[[#This Row],[IGV UNIT.
(US$)
✅CF]]+TABLA_BASE[[#This Row],[PERCEP.
UNIT.(US$)
✅CF]]</f>
        <v>0</v>
      </c>
      <c r="AB53" s="282">
        <f>TABLA_BASE[[#This Row],[TOTAL PAGO
SUNAT
UNIT.(US$)]]*TABLA_BASE[[#This Row],[CANTIDAD
(unid.)]]</f>
        <v>0</v>
      </c>
      <c r="AC53" s="284">
        <f>TABLA_BASE[[#This Row],[TOTAL PAGO
SUNAT
UNIT.(US$)]]*'📋 Datos Generales'!$E$19</f>
        <v>0</v>
      </c>
      <c r="AD53" s="284">
        <f>TABLA_BASE[[#This Row],[TOTAL TRIB.
UNIT.(S/.)]]*TABLA_BASE[[#This Row],[CANTIDAD
(unid.)]]</f>
        <v>0</v>
      </c>
      <c r="AE53" s="282">
        <f>IF('🧾 Factura Comercial'!G55=0,0,'📦 Gastos Importación'!$E$28*(IF('🧾 Tributos Aduana'!$F$6=0,0,'🧾 Factura Comercial'!I55/'🧾 Tributos Aduana'!$F$6))/'🧾 Factura Comercial'!G55)</f>
        <v>0</v>
      </c>
      <c r="AF53" s="282">
        <f>TABLA_BASE[[#This Row],[GASTOS IMP.
UNIT.(US$)]]*TABLA_BASE[[#This Row],[CANTIDAD
(unid.)]]</f>
        <v>0</v>
      </c>
      <c r="AG53" s="284">
        <f>TABLA_BASE[[#This Row],[GASTOS IMP.
UNIT.(US$)]]*'📋 Datos Generales'!$E$19</f>
        <v>0</v>
      </c>
      <c r="AH53" s="284">
        <f>TABLA_BASE[[#This Row],[GASTOS IMP.
UNIT.(S/.)]]*TABLA_BASE[[#This Row],[CANTIDAD
(unid.)]]</f>
        <v>0</v>
      </c>
      <c r="AI53" s="283">
        <f>'🧮 Costos x Producto'!J57</f>
        <v>0</v>
      </c>
      <c r="AJ53" s="282">
        <f>'🧮 Costos x Producto'!K57</f>
        <v>0</v>
      </c>
      <c r="AK53" s="282">
        <f>IF('🧾 Factura Comercial'!G55=0,0,'🧾 Tributos Aduana'!$F$17*(IF('🧾 Tributos Aduana'!$F$6=0,0,'🧾 Factura Comercial'!I55/'🧾 Tributos Aduana'!$F$6))/'🧾 Factura Comercial'!G55)</f>
        <v>0</v>
      </c>
      <c r="AL53" s="282">
        <f>IF('🧾 Factura Comercial'!G55=0,0,'🏦 Crédito Fiscal'!$C$16*(IF('🧾 Tributos Aduana'!$F$6=0,0,'🧾 Factura Comercial'!I55/'🧾 Tributos Aduana'!$F$6))/'🧾 Factura Comercial'!G55)</f>
        <v>0</v>
      </c>
      <c r="AM53" s="284">
        <f>TABLA_BASE[[#This Row],[CF UNIT.
✅RECUP.
(US$)]]*'📋 Datos Generales'!$E$19</f>
        <v>0</v>
      </c>
      <c r="AN53" s="281">
        <f>TABLA_BASE[[#This Row],[CF UNIT.
✅RECUP.(S/.)]]*TABLA_BASE[[#This Row],[CANTIDAD
(unid.)]]</f>
        <v>0</v>
      </c>
      <c r="AO53" s="298">
        <f>'💰 Precio de Venta'!G58</f>
        <v>0</v>
      </c>
      <c r="AP53" s="284">
        <f>'💰 Precio de Venta'!H58</f>
        <v>0</v>
      </c>
      <c r="AQ53" s="284">
        <f>'💰 Precio de Venta'!I58</f>
        <v>0</v>
      </c>
      <c r="AR53" s="281">
        <f>'💰 Precio de Venta'!J58</f>
        <v>0</v>
      </c>
      <c r="AS53" s="300">
        <f>'💰 Precio de Venta'!K58</f>
        <v>0</v>
      </c>
      <c r="AT53" s="281">
        <f>TABLA_BASE[[#This Row],[GANANCIA
UNIT.(S/.)]]*'🧾 Factura Comercial'!G55</f>
        <v>0</v>
      </c>
      <c r="AU53" s="280">
        <f>IF(TABLA_BASE[[#This Row],[PRECIO VTA.
c/IGV(S/.)]]=0,0,TABLA_BASE[[#This Row],[GANANCIA
UNIT.(S/.)]]/TABLA_BASE[[#This Row],[PRECIO VTA.
c/IGV(S/.)]])</f>
        <v>0</v>
      </c>
      <c r="AV53" s="280">
        <f>IF(TABLA_BASE[[#This Row],[C/M UNIT.
(S/.)]]=0,0,TABLA_BASE[[#This Row],[GANANCIA
UNIT.(S/.)]]/TABLA_BASE[[#This Row],[C/M UNIT.
(S/.)]])</f>
        <v>0</v>
      </c>
      <c r="AW53" s="277" t="str">
        <f>IF(TABLA_BASE[[#This Row],[MARGEN
%]]&gt;=0.5,"🟢 ALTO",IF(TABLA_BASE[[#This Row],[MARGEN
%]]&gt;=0.3,"🟡 MEDIO","🔴 BAJO"))</f>
        <v>🔴 BAJO</v>
      </c>
    </row>
    <row r="54" spans="1:49" ht="16.5" hidden="1" thickTop="1" thickBot="1" x14ac:dyDescent="0.3">
      <c r="A54" s="277">
        <f>'🧾 Factura Comercial'!E56</f>
        <v>0</v>
      </c>
      <c r="B54" s="277">
        <f>'🧾 Factura Comercial'!F56</f>
        <v>0</v>
      </c>
      <c r="C54" s="278">
        <f>'🧾 Factura Comercial'!G56</f>
        <v>0</v>
      </c>
      <c r="D54" s="279">
        <f>'🧾 Factura Comercial'!H56</f>
        <v>0</v>
      </c>
      <c r="E54" s="279">
        <f>'🧾 Factura Comercial'!I56</f>
        <v>0</v>
      </c>
      <c r="F54" s="280">
        <f>IF('🧾 Tributos Aduana'!$F$6=0,0,'🧾 Factura Comercial'!I56/'🧾 Tributos Aduana'!$F$6)</f>
        <v>0</v>
      </c>
      <c r="G54" s="281">
        <f>'🧾 Factura Comercial'!H56*'📋 Datos Generales'!$E$19</f>
        <v>0</v>
      </c>
      <c r="H54" s="281">
        <f>TABLA_BASE[[#This Row],[FOB UNIT.
(S/.)]]*TABLA_BASE[[#This Row],[CANTIDAD
(unid.)]]</f>
        <v>0</v>
      </c>
      <c r="I54" s="283">
        <f>IF('🧾 Tributos Aduana'!$F$6=0,0,'🧾 Tributos Aduana'!$F$17*('🧾 Factura Comercial'!H56/'🧾 Tributos Aduana'!$F$6))</f>
        <v>0</v>
      </c>
      <c r="J54" s="283">
        <f>TABLA_BASE[[#This Row],[ADV UNIT.
(US$)
⚠️COSTO]]*TABLA_BASE[[#This Row],[CANTIDAD
(unid.)]]</f>
        <v>0</v>
      </c>
      <c r="K54" s="282">
        <f>IF('🧾 Tributos Aduana'!$F$6=0,0,'🧾 Tributos Aduana'!$F$18*('🧾 Factura Comercial'!H56/'🧾 Tributos Aduana'!$F$6))</f>
        <v>0</v>
      </c>
      <c r="L54" s="283">
        <f>TABLA_BASE[[#This Row],[IPM UNIT.
(US$)
✅CF]]*TABLA_BASE[[#This Row],[CANTIDAD
(unid.)]]</f>
        <v>0</v>
      </c>
      <c r="M54" s="282">
        <f>IF('🧾 Tributos Aduana'!$F$6=0,0,'🧾 Tributos Aduana'!$F$19*('🧾 Factura Comercial'!H56/'🧾 Tributos Aduana'!$F$6))</f>
        <v>0</v>
      </c>
      <c r="N54" s="283">
        <f>TABLA_BASE[[#This Row],[IGV UNIT.
(US$)
✅CF]]*TABLA_BASE[[#This Row],[CANTIDAD
(unid.)]]</f>
        <v>0</v>
      </c>
      <c r="O54" s="283">
        <f>IF('🧾 Tributos Aduana'!$F$6=0,0,'🧾 Tributos Aduana'!$F$23*('🧾 Factura Comercial'!H56/'🧾 Tributos Aduana'!$F$6))</f>
        <v>0</v>
      </c>
      <c r="P54" s="283">
        <f>TABLA_BASE[[#This Row],[PERCEP.
UNIT.(US$)
✅CF]]*TABLA_BASE[[#This Row],[CANTIDAD
(unid.)]]</f>
        <v>0</v>
      </c>
      <c r="Q54" s="282">
        <f>TABLA_BASE[[#This Row],[ADV UNIT.
(US$)
⚠️COSTO]]+TABLA_BASE[[#This Row],[IPM UNIT.
(US$)
✅CF]]+TABLA_BASE[[#This Row],[IGV UNIT.
(US$)
✅CF]]</f>
        <v>0</v>
      </c>
      <c r="R54" s="283">
        <f>TABLA_BASE[[#This Row],[DEUDA
ADUANERA
UNIT.]]*TABLA_BASE[[#This Row],[CANTIDAD
(unid.)]]</f>
        <v>0</v>
      </c>
      <c r="S54" s="284">
        <f>TABLA_BASE[[#This Row],[ADV UNIT.
(US$)
⚠️COSTO]]*'📋 Datos Generales'!$E$19</f>
        <v>0</v>
      </c>
      <c r="T54" s="284">
        <f>TABLA_BASE[[#This Row],[ADV UNIT.
(S/.)]]*TABLA_BASE[[#This Row],[CANTIDAD
(unid.)]]</f>
        <v>0</v>
      </c>
      <c r="U54" s="284">
        <f>TABLA_BASE[[#This Row],[IPM UNIT.
(US$)
✅CF]]*'📋 Datos Generales'!$E$19</f>
        <v>0</v>
      </c>
      <c r="V54" s="284">
        <f>TABLA_BASE[[#This Row],[IPM UNIT.
(S/.)]]*TABLA_BASE[[#This Row],[CANTIDAD
(unid.)]]</f>
        <v>0</v>
      </c>
      <c r="W54" s="284">
        <f>TABLA_BASE[[#This Row],[IGV UNIT.
(US$)
✅CF]]*'📋 Datos Generales'!$E$19</f>
        <v>0</v>
      </c>
      <c r="X54" s="284">
        <f>TABLA_BASE[[#This Row],[IGV UNIT.
(S/.)]]*TABLA_BASE[[#This Row],[CANTIDAD
(unid.)]]</f>
        <v>0</v>
      </c>
      <c r="Y54" s="284">
        <f>TABLA_BASE[[#This Row],[PERCEP.
UNIT.(US$)
✅CF]]*'📋 Datos Generales'!$E$19</f>
        <v>0</v>
      </c>
      <c r="Z54" s="284">
        <f>TABLA_BASE[[#This Row],[PERCEP.
UNIT.(S/.)]]*TABLA_BASE[[#This Row],[CANTIDAD
(unid.)]]</f>
        <v>0</v>
      </c>
      <c r="AA54" s="282">
        <f>TABLA_BASE[[#This Row],[ADV UNIT.
(US$)
⚠️COSTO]]+TABLA_BASE[[#This Row],[IPM UNIT.
(US$)
✅CF]]+TABLA_BASE[[#This Row],[IGV UNIT.
(US$)
✅CF]]+TABLA_BASE[[#This Row],[PERCEP.
UNIT.(US$)
✅CF]]</f>
        <v>0</v>
      </c>
      <c r="AB54" s="282">
        <f>TABLA_BASE[[#This Row],[TOTAL PAGO
SUNAT
UNIT.(US$)]]*TABLA_BASE[[#This Row],[CANTIDAD
(unid.)]]</f>
        <v>0</v>
      </c>
      <c r="AC54" s="284">
        <f>TABLA_BASE[[#This Row],[TOTAL PAGO
SUNAT
UNIT.(US$)]]*'📋 Datos Generales'!$E$19</f>
        <v>0</v>
      </c>
      <c r="AD54" s="284">
        <f>TABLA_BASE[[#This Row],[TOTAL TRIB.
UNIT.(S/.)]]*TABLA_BASE[[#This Row],[CANTIDAD
(unid.)]]</f>
        <v>0</v>
      </c>
      <c r="AE54" s="282">
        <f>IF('🧾 Factura Comercial'!G56=0,0,'📦 Gastos Importación'!$E$28*(IF('🧾 Tributos Aduana'!$F$6=0,0,'🧾 Factura Comercial'!I56/'🧾 Tributos Aduana'!$F$6))/'🧾 Factura Comercial'!G56)</f>
        <v>0</v>
      </c>
      <c r="AF54" s="282">
        <f>TABLA_BASE[[#This Row],[GASTOS IMP.
UNIT.(US$)]]*TABLA_BASE[[#This Row],[CANTIDAD
(unid.)]]</f>
        <v>0</v>
      </c>
      <c r="AG54" s="284">
        <f>TABLA_BASE[[#This Row],[GASTOS IMP.
UNIT.(US$)]]*'📋 Datos Generales'!$E$19</f>
        <v>0</v>
      </c>
      <c r="AH54" s="284">
        <f>TABLA_BASE[[#This Row],[GASTOS IMP.
UNIT.(S/.)]]*TABLA_BASE[[#This Row],[CANTIDAD
(unid.)]]</f>
        <v>0</v>
      </c>
      <c r="AI54" s="283">
        <f>'🧮 Costos x Producto'!J58</f>
        <v>0</v>
      </c>
      <c r="AJ54" s="282">
        <f>'🧮 Costos x Producto'!K58</f>
        <v>0</v>
      </c>
      <c r="AK54" s="282">
        <f>IF('🧾 Factura Comercial'!G56=0,0,'🧾 Tributos Aduana'!$F$17*(IF('🧾 Tributos Aduana'!$F$6=0,0,'🧾 Factura Comercial'!I56/'🧾 Tributos Aduana'!$F$6))/'🧾 Factura Comercial'!G56)</f>
        <v>0</v>
      </c>
      <c r="AL54" s="282">
        <f>IF('🧾 Factura Comercial'!G56=0,0,'🏦 Crédito Fiscal'!$C$16*(IF('🧾 Tributos Aduana'!$F$6=0,0,'🧾 Factura Comercial'!I56/'🧾 Tributos Aduana'!$F$6))/'🧾 Factura Comercial'!G56)</f>
        <v>0</v>
      </c>
      <c r="AM54" s="284">
        <f>TABLA_BASE[[#This Row],[CF UNIT.
✅RECUP.
(US$)]]*'📋 Datos Generales'!$E$19</f>
        <v>0</v>
      </c>
      <c r="AN54" s="281">
        <f>TABLA_BASE[[#This Row],[CF UNIT.
✅RECUP.(S/.)]]*TABLA_BASE[[#This Row],[CANTIDAD
(unid.)]]</f>
        <v>0</v>
      </c>
      <c r="AO54" s="298">
        <f>'💰 Precio de Venta'!G59</f>
        <v>0</v>
      </c>
      <c r="AP54" s="284">
        <f>'💰 Precio de Venta'!H59</f>
        <v>0</v>
      </c>
      <c r="AQ54" s="284">
        <f>'💰 Precio de Venta'!I59</f>
        <v>0</v>
      </c>
      <c r="AR54" s="281">
        <f>'💰 Precio de Venta'!J59</f>
        <v>0</v>
      </c>
      <c r="AS54" s="300">
        <f>'💰 Precio de Venta'!K59</f>
        <v>0</v>
      </c>
      <c r="AT54" s="281">
        <f>TABLA_BASE[[#This Row],[GANANCIA
UNIT.(S/.)]]*'🧾 Factura Comercial'!G56</f>
        <v>0</v>
      </c>
      <c r="AU54" s="280">
        <f>IF(TABLA_BASE[[#This Row],[PRECIO VTA.
c/IGV(S/.)]]=0,0,TABLA_BASE[[#This Row],[GANANCIA
UNIT.(S/.)]]/TABLA_BASE[[#This Row],[PRECIO VTA.
c/IGV(S/.)]])</f>
        <v>0</v>
      </c>
      <c r="AV54" s="280">
        <f>IF(TABLA_BASE[[#This Row],[C/M UNIT.
(S/.)]]=0,0,TABLA_BASE[[#This Row],[GANANCIA
UNIT.(S/.)]]/TABLA_BASE[[#This Row],[C/M UNIT.
(S/.)]])</f>
        <v>0</v>
      </c>
      <c r="AW54" s="277" t="str">
        <f>IF(TABLA_BASE[[#This Row],[MARGEN
%]]&gt;=0.5,"🟢 ALTO",IF(TABLA_BASE[[#This Row],[MARGEN
%]]&gt;=0.3,"🟡 MEDIO","🔴 BAJO"))</f>
        <v>🔴 BAJO</v>
      </c>
    </row>
    <row r="55" spans="1:49" ht="16.5" hidden="1" thickTop="1" thickBot="1" x14ac:dyDescent="0.3">
      <c r="A55" s="277">
        <f>'🧾 Factura Comercial'!E57</f>
        <v>0</v>
      </c>
      <c r="B55" s="277">
        <f>'🧾 Factura Comercial'!F57</f>
        <v>0</v>
      </c>
      <c r="C55" s="278">
        <f>'🧾 Factura Comercial'!G57</f>
        <v>0</v>
      </c>
      <c r="D55" s="279">
        <f>'🧾 Factura Comercial'!H57</f>
        <v>0</v>
      </c>
      <c r="E55" s="279">
        <f>'🧾 Factura Comercial'!I57</f>
        <v>0</v>
      </c>
      <c r="F55" s="280">
        <f>IF('🧾 Tributos Aduana'!$F$6=0,0,'🧾 Factura Comercial'!I57/'🧾 Tributos Aduana'!$F$6)</f>
        <v>0</v>
      </c>
      <c r="G55" s="281">
        <f>'🧾 Factura Comercial'!H57*'📋 Datos Generales'!$E$19</f>
        <v>0</v>
      </c>
      <c r="H55" s="281">
        <f>TABLA_BASE[[#This Row],[FOB UNIT.
(S/.)]]*TABLA_BASE[[#This Row],[CANTIDAD
(unid.)]]</f>
        <v>0</v>
      </c>
      <c r="I55" s="283">
        <f>IF('🧾 Tributos Aduana'!$F$6=0,0,'🧾 Tributos Aduana'!$F$17*('🧾 Factura Comercial'!H57/'🧾 Tributos Aduana'!$F$6))</f>
        <v>0</v>
      </c>
      <c r="J55" s="283">
        <f>TABLA_BASE[[#This Row],[ADV UNIT.
(US$)
⚠️COSTO]]*TABLA_BASE[[#This Row],[CANTIDAD
(unid.)]]</f>
        <v>0</v>
      </c>
      <c r="K55" s="282">
        <f>IF('🧾 Tributos Aduana'!$F$6=0,0,'🧾 Tributos Aduana'!$F$18*('🧾 Factura Comercial'!H57/'🧾 Tributos Aduana'!$F$6))</f>
        <v>0</v>
      </c>
      <c r="L55" s="283">
        <f>TABLA_BASE[[#This Row],[IPM UNIT.
(US$)
✅CF]]*TABLA_BASE[[#This Row],[CANTIDAD
(unid.)]]</f>
        <v>0</v>
      </c>
      <c r="M55" s="282">
        <f>IF('🧾 Tributos Aduana'!$F$6=0,0,'🧾 Tributos Aduana'!$F$19*('🧾 Factura Comercial'!H57/'🧾 Tributos Aduana'!$F$6))</f>
        <v>0</v>
      </c>
      <c r="N55" s="283">
        <f>TABLA_BASE[[#This Row],[IGV UNIT.
(US$)
✅CF]]*TABLA_BASE[[#This Row],[CANTIDAD
(unid.)]]</f>
        <v>0</v>
      </c>
      <c r="O55" s="283">
        <f>IF('🧾 Tributos Aduana'!$F$6=0,0,'🧾 Tributos Aduana'!$F$23*('🧾 Factura Comercial'!H57/'🧾 Tributos Aduana'!$F$6))</f>
        <v>0</v>
      </c>
      <c r="P55" s="283">
        <f>TABLA_BASE[[#This Row],[PERCEP.
UNIT.(US$)
✅CF]]*TABLA_BASE[[#This Row],[CANTIDAD
(unid.)]]</f>
        <v>0</v>
      </c>
      <c r="Q55" s="282">
        <f>TABLA_BASE[[#This Row],[ADV UNIT.
(US$)
⚠️COSTO]]+TABLA_BASE[[#This Row],[IPM UNIT.
(US$)
✅CF]]+TABLA_BASE[[#This Row],[IGV UNIT.
(US$)
✅CF]]</f>
        <v>0</v>
      </c>
      <c r="R55" s="283">
        <f>TABLA_BASE[[#This Row],[DEUDA
ADUANERA
UNIT.]]*TABLA_BASE[[#This Row],[CANTIDAD
(unid.)]]</f>
        <v>0</v>
      </c>
      <c r="S55" s="284">
        <f>TABLA_BASE[[#This Row],[ADV UNIT.
(US$)
⚠️COSTO]]*'📋 Datos Generales'!$E$19</f>
        <v>0</v>
      </c>
      <c r="T55" s="284">
        <f>TABLA_BASE[[#This Row],[ADV UNIT.
(S/.)]]*TABLA_BASE[[#This Row],[CANTIDAD
(unid.)]]</f>
        <v>0</v>
      </c>
      <c r="U55" s="284">
        <f>TABLA_BASE[[#This Row],[IPM UNIT.
(US$)
✅CF]]*'📋 Datos Generales'!$E$19</f>
        <v>0</v>
      </c>
      <c r="V55" s="284">
        <f>TABLA_BASE[[#This Row],[IPM UNIT.
(S/.)]]*TABLA_BASE[[#This Row],[CANTIDAD
(unid.)]]</f>
        <v>0</v>
      </c>
      <c r="W55" s="284">
        <f>TABLA_BASE[[#This Row],[IGV UNIT.
(US$)
✅CF]]*'📋 Datos Generales'!$E$19</f>
        <v>0</v>
      </c>
      <c r="X55" s="284">
        <f>TABLA_BASE[[#This Row],[IGV UNIT.
(S/.)]]*TABLA_BASE[[#This Row],[CANTIDAD
(unid.)]]</f>
        <v>0</v>
      </c>
      <c r="Y55" s="284">
        <f>TABLA_BASE[[#This Row],[PERCEP.
UNIT.(US$)
✅CF]]*'📋 Datos Generales'!$E$19</f>
        <v>0</v>
      </c>
      <c r="Z55" s="284">
        <f>TABLA_BASE[[#This Row],[PERCEP.
UNIT.(S/.)]]*TABLA_BASE[[#This Row],[CANTIDAD
(unid.)]]</f>
        <v>0</v>
      </c>
      <c r="AA55" s="282">
        <f>TABLA_BASE[[#This Row],[ADV UNIT.
(US$)
⚠️COSTO]]+TABLA_BASE[[#This Row],[IPM UNIT.
(US$)
✅CF]]+TABLA_BASE[[#This Row],[IGV UNIT.
(US$)
✅CF]]+TABLA_BASE[[#This Row],[PERCEP.
UNIT.(US$)
✅CF]]</f>
        <v>0</v>
      </c>
      <c r="AB55" s="282">
        <f>TABLA_BASE[[#This Row],[TOTAL PAGO
SUNAT
UNIT.(US$)]]*TABLA_BASE[[#This Row],[CANTIDAD
(unid.)]]</f>
        <v>0</v>
      </c>
      <c r="AC55" s="284">
        <f>TABLA_BASE[[#This Row],[TOTAL PAGO
SUNAT
UNIT.(US$)]]*'📋 Datos Generales'!$E$19</f>
        <v>0</v>
      </c>
      <c r="AD55" s="284">
        <f>TABLA_BASE[[#This Row],[TOTAL TRIB.
UNIT.(S/.)]]*TABLA_BASE[[#This Row],[CANTIDAD
(unid.)]]</f>
        <v>0</v>
      </c>
      <c r="AE55" s="282">
        <f>IF('🧾 Factura Comercial'!G57=0,0,'📦 Gastos Importación'!$E$28*(IF('🧾 Tributos Aduana'!$F$6=0,0,'🧾 Factura Comercial'!I57/'🧾 Tributos Aduana'!$F$6))/'🧾 Factura Comercial'!G57)</f>
        <v>0</v>
      </c>
      <c r="AF55" s="282">
        <f>TABLA_BASE[[#This Row],[GASTOS IMP.
UNIT.(US$)]]*TABLA_BASE[[#This Row],[CANTIDAD
(unid.)]]</f>
        <v>0</v>
      </c>
      <c r="AG55" s="284">
        <f>TABLA_BASE[[#This Row],[GASTOS IMP.
UNIT.(US$)]]*'📋 Datos Generales'!$E$19</f>
        <v>0</v>
      </c>
      <c r="AH55" s="284">
        <f>TABLA_BASE[[#This Row],[GASTOS IMP.
UNIT.(S/.)]]*TABLA_BASE[[#This Row],[CANTIDAD
(unid.)]]</f>
        <v>0</v>
      </c>
      <c r="AI55" s="283">
        <f>'🧮 Costos x Producto'!J59</f>
        <v>0</v>
      </c>
      <c r="AJ55" s="282">
        <f>'🧮 Costos x Producto'!K59</f>
        <v>0</v>
      </c>
      <c r="AK55" s="282">
        <f>IF('🧾 Factura Comercial'!G57=0,0,'🧾 Tributos Aduana'!$F$17*(IF('🧾 Tributos Aduana'!$F$6=0,0,'🧾 Factura Comercial'!I57/'🧾 Tributos Aduana'!$F$6))/'🧾 Factura Comercial'!G57)</f>
        <v>0</v>
      </c>
      <c r="AL55" s="282">
        <f>IF('🧾 Factura Comercial'!G57=0,0,'🏦 Crédito Fiscal'!$C$16*(IF('🧾 Tributos Aduana'!$F$6=0,0,'🧾 Factura Comercial'!I57/'🧾 Tributos Aduana'!$F$6))/'🧾 Factura Comercial'!G57)</f>
        <v>0</v>
      </c>
      <c r="AM55" s="284">
        <f>TABLA_BASE[[#This Row],[CF UNIT.
✅RECUP.
(US$)]]*'📋 Datos Generales'!$E$19</f>
        <v>0</v>
      </c>
      <c r="AN55" s="281">
        <f>TABLA_BASE[[#This Row],[CF UNIT.
✅RECUP.(S/.)]]*TABLA_BASE[[#This Row],[CANTIDAD
(unid.)]]</f>
        <v>0</v>
      </c>
      <c r="AO55" s="298">
        <f>'💰 Precio de Venta'!G60</f>
        <v>0</v>
      </c>
      <c r="AP55" s="284">
        <f>'💰 Precio de Venta'!H60</f>
        <v>0</v>
      </c>
      <c r="AQ55" s="284">
        <f>'💰 Precio de Venta'!I60</f>
        <v>0</v>
      </c>
      <c r="AR55" s="281">
        <f>'💰 Precio de Venta'!J60</f>
        <v>0</v>
      </c>
      <c r="AS55" s="300">
        <f>'💰 Precio de Venta'!K60</f>
        <v>0</v>
      </c>
      <c r="AT55" s="281">
        <f>TABLA_BASE[[#This Row],[GANANCIA
UNIT.(S/.)]]*'🧾 Factura Comercial'!G57</f>
        <v>0</v>
      </c>
      <c r="AU55" s="280">
        <f>IF(TABLA_BASE[[#This Row],[PRECIO VTA.
c/IGV(S/.)]]=0,0,TABLA_BASE[[#This Row],[GANANCIA
UNIT.(S/.)]]/TABLA_BASE[[#This Row],[PRECIO VTA.
c/IGV(S/.)]])</f>
        <v>0</v>
      </c>
      <c r="AV55" s="280">
        <f>IF(TABLA_BASE[[#This Row],[C/M UNIT.
(S/.)]]=0,0,TABLA_BASE[[#This Row],[GANANCIA
UNIT.(S/.)]]/TABLA_BASE[[#This Row],[C/M UNIT.
(S/.)]])</f>
        <v>0</v>
      </c>
      <c r="AW55" s="277" t="str">
        <f>IF(TABLA_BASE[[#This Row],[MARGEN
%]]&gt;=0.5,"🟢 ALTO",IF(TABLA_BASE[[#This Row],[MARGEN
%]]&gt;=0.3,"🟡 MEDIO","🔴 BAJO"))</f>
        <v>🔴 BAJO</v>
      </c>
    </row>
    <row r="56" spans="1:49" ht="16.5" hidden="1" thickTop="1" thickBot="1" x14ac:dyDescent="0.3">
      <c r="A56" s="277">
        <f>'🧾 Factura Comercial'!E58</f>
        <v>0</v>
      </c>
      <c r="B56" s="277">
        <f>'🧾 Factura Comercial'!F58</f>
        <v>0</v>
      </c>
      <c r="C56" s="278">
        <f>'🧾 Factura Comercial'!G58</f>
        <v>0</v>
      </c>
      <c r="D56" s="279">
        <f>'🧾 Factura Comercial'!H58</f>
        <v>0</v>
      </c>
      <c r="E56" s="279">
        <f>'🧾 Factura Comercial'!I58</f>
        <v>0</v>
      </c>
      <c r="F56" s="280">
        <f>IF('🧾 Tributos Aduana'!$F$6=0,0,'🧾 Factura Comercial'!I58/'🧾 Tributos Aduana'!$F$6)</f>
        <v>0</v>
      </c>
      <c r="G56" s="281">
        <f>'🧾 Factura Comercial'!H58*'📋 Datos Generales'!$E$19</f>
        <v>0</v>
      </c>
      <c r="H56" s="281">
        <f>TABLA_BASE[[#This Row],[FOB UNIT.
(S/.)]]*TABLA_BASE[[#This Row],[CANTIDAD
(unid.)]]</f>
        <v>0</v>
      </c>
      <c r="I56" s="283">
        <f>IF('🧾 Tributos Aduana'!$F$6=0,0,'🧾 Tributos Aduana'!$F$17*('🧾 Factura Comercial'!H58/'🧾 Tributos Aduana'!$F$6))</f>
        <v>0</v>
      </c>
      <c r="J56" s="283">
        <f>TABLA_BASE[[#This Row],[ADV UNIT.
(US$)
⚠️COSTO]]*TABLA_BASE[[#This Row],[CANTIDAD
(unid.)]]</f>
        <v>0</v>
      </c>
      <c r="K56" s="282">
        <f>IF('🧾 Tributos Aduana'!$F$6=0,0,'🧾 Tributos Aduana'!$F$18*('🧾 Factura Comercial'!H58/'🧾 Tributos Aduana'!$F$6))</f>
        <v>0</v>
      </c>
      <c r="L56" s="283">
        <f>TABLA_BASE[[#This Row],[IPM UNIT.
(US$)
✅CF]]*TABLA_BASE[[#This Row],[CANTIDAD
(unid.)]]</f>
        <v>0</v>
      </c>
      <c r="M56" s="282">
        <f>IF('🧾 Tributos Aduana'!$F$6=0,0,'🧾 Tributos Aduana'!$F$19*('🧾 Factura Comercial'!H58/'🧾 Tributos Aduana'!$F$6))</f>
        <v>0</v>
      </c>
      <c r="N56" s="283">
        <f>TABLA_BASE[[#This Row],[IGV UNIT.
(US$)
✅CF]]*TABLA_BASE[[#This Row],[CANTIDAD
(unid.)]]</f>
        <v>0</v>
      </c>
      <c r="O56" s="283">
        <f>IF('🧾 Tributos Aduana'!$F$6=0,0,'🧾 Tributos Aduana'!$F$23*('🧾 Factura Comercial'!H58/'🧾 Tributos Aduana'!$F$6))</f>
        <v>0</v>
      </c>
      <c r="P56" s="283">
        <f>TABLA_BASE[[#This Row],[PERCEP.
UNIT.(US$)
✅CF]]*TABLA_BASE[[#This Row],[CANTIDAD
(unid.)]]</f>
        <v>0</v>
      </c>
      <c r="Q56" s="282">
        <f>TABLA_BASE[[#This Row],[ADV UNIT.
(US$)
⚠️COSTO]]+TABLA_BASE[[#This Row],[IPM UNIT.
(US$)
✅CF]]+TABLA_BASE[[#This Row],[IGV UNIT.
(US$)
✅CF]]</f>
        <v>0</v>
      </c>
      <c r="R56" s="283">
        <f>TABLA_BASE[[#This Row],[DEUDA
ADUANERA
UNIT.]]*TABLA_BASE[[#This Row],[CANTIDAD
(unid.)]]</f>
        <v>0</v>
      </c>
      <c r="S56" s="284">
        <f>TABLA_BASE[[#This Row],[ADV UNIT.
(US$)
⚠️COSTO]]*'📋 Datos Generales'!$E$19</f>
        <v>0</v>
      </c>
      <c r="T56" s="284">
        <f>TABLA_BASE[[#This Row],[ADV UNIT.
(S/.)]]*TABLA_BASE[[#This Row],[CANTIDAD
(unid.)]]</f>
        <v>0</v>
      </c>
      <c r="U56" s="284">
        <f>TABLA_BASE[[#This Row],[IPM UNIT.
(US$)
✅CF]]*'📋 Datos Generales'!$E$19</f>
        <v>0</v>
      </c>
      <c r="V56" s="284">
        <f>TABLA_BASE[[#This Row],[IPM UNIT.
(S/.)]]*TABLA_BASE[[#This Row],[CANTIDAD
(unid.)]]</f>
        <v>0</v>
      </c>
      <c r="W56" s="284">
        <f>TABLA_BASE[[#This Row],[IGV UNIT.
(US$)
✅CF]]*'📋 Datos Generales'!$E$19</f>
        <v>0</v>
      </c>
      <c r="X56" s="284">
        <f>TABLA_BASE[[#This Row],[IGV UNIT.
(S/.)]]*TABLA_BASE[[#This Row],[CANTIDAD
(unid.)]]</f>
        <v>0</v>
      </c>
      <c r="Y56" s="284">
        <f>TABLA_BASE[[#This Row],[PERCEP.
UNIT.(US$)
✅CF]]*'📋 Datos Generales'!$E$19</f>
        <v>0</v>
      </c>
      <c r="Z56" s="284">
        <f>TABLA_BASE[[#This Row],[PERCEP.
UNIT.(S/.)]]*TABLA_BASE[[#This Row],[CANTIDAD
(unid.)]]</f>
        <v>0</v>
      </c>
      <c r="AA56" s="282">
        <f>TABLA_BASE[[#This Row],[ADV UNIT.
(US$)
⚠️COSTO]]+TABLA_BASE[[#This Row],[IPM UNIT.
(US$)
✅CF]]+TABLA_BASE[[#This Row],[IGV UNIT.
(US$)
✅CF]]+TABLA_BASE[[#This Row],[PERCEP.
UNIT.(US$)
✅CF]]</f>
        <v>0</v>
      </c>
      <c r="AB56" s="282">
        <f>TABLA_BASE[[#This Row],[TOTAL PAGO
SUNAT
UNIT.(US$)]]*TABLA_BASE[[#This Row],[CANTIDAD
(unid.)]]</f>
        <v>0</v>
      </c>
      <c r="AC56" s="284">
        <f>TABLA_BASE[[#This Row],[TOTAL PAGO
SUNAT
UNIT.(US$)]]*'📋 Datos Generales'!$E$19</f>
        <v>0</v>
      </c>
      <c r="AD56" s="284">
        <f>TABLA_BASE[[#This Row],[TOTAL TRIB.
UNIT.(S/.)]]*TABLA_BASE[[#This Row],[CANTIDAD
(unid.)]]</f>
        <v>0</v>
      </c>
      <c r="AE56" s="282">
        <f>IF('🧾 Factura Comercial'!G58=0,0,'📦 Gastos Importación'!$E$28*(IF('🧾 Tributos Aduana'!$F$6=0,0,'🧾 Factura Comercial'!I58/'🧾 Tributos Aduana'!$F$6))/'🧾 Factura Comercial'!G58)</f>
        <v>0</v>
      </c>
      <c r="AF56" s="282">
        <f>TABLA_BASE[[#This Row],[GASTOS IMP.
UNIT.(US$)]]*TABLA_BASE[[#This Row],[CANTIDAD
(unid.)]]</f>
        <v>0</v>
      </c>
      <c r="AG56" s="284">
        <f>TABLA_BASE[[#This Row],[GASTOS IMP.
UNIT.(US$)]]*'📋 Datos Generales'!$E$19</f>
        <v>0</v>
      </c>
      <c r="AH56" s="284">
        <f>TABLA_BASE[[#This Row],[GASTOS IMP.
UNIT.(S/.)]]*TABLA_BASE[[#This Row],[CANTIDAD
(unid.)]]</f>
        <v>0</v>
      </c>
      <c r="AI56" s="283">
        <f>'🧮 Costos x Producto'!J60</f>
        <v>0</v>
      </c>
      <c r="AJ56" s="282">
        <f>'🧮 Costos x Producto'!K60</f>
        <v>0</v>
      </c>
      <c r="AK56" s="282">
        <f>IF('🧾 Factura Comercial'!G58=0,0,'🧾 Tributos Aduana'!$F$17*(IF('🧾 Tributos Aduana'!$F$6=0,0,'🧾 Factura Comercial'!I58/'🧾 Tributos Aduana'!$F$6))/'🧾 Factura Comercial'!G58)</f>
        <v>0</v>
      </c>
      <c r="AL56" s="282">
        <f>IF('🧾 Factura Comercial'!G58=0,0,'🏦 Crédito Fiscal'!$C$16*(IF('🧾 Tributos Aduana'!$F$6=0,0,'🧾 Factura Comercial'!I58/'🧾 Tributos Aduana'!$F$6))/'🧾 Factura Comercial'!G58)</f>
        <v>0</v>
      </c>
      <c r="AM56" s="284">
        <f>TABLA_BASE[[#This Row],[CF UNIT.
✅RECUP.
(US$)]]*'📋 Datos Generales'!$E$19</f>
        <v>0</v>
      </c>
      <c r="AN56" s="281">
        <f>TABLA_BASE[[#This Row],[CF UNIT.
✅RECUP.(S/.)]]*TABLA_BASE[[#This Row],[CANTIDAD
(unid.)]]</f>
        <v>0</v>
      </c>
      <c r="AO56" s="298">
        <f>'💰 Precio de Venta'!G61</f>
        <v>0</v>
      </c>
      <c r="AP56" s="284">
        <f>'💰 Precio de Venta'!H61</f>
        <v>0</v>
      </c>
      <c r="AQ56" s="284">
        <f>'💰 Precio de Venta'!I61</f>
        <v>0</v>
      </c>
      <c r="AR56" s="281">
        <f>'💰 Precio de Venta'!J61</f>
        <v>0</v>
      </c>
      <c r="AS56" s="300">
        <f>'💰 Precio de Venta'!K61</f>
        <v>0</v>
      </c>
      <c r="AT56" s="281">
        <f>TABLA_BASE[[#This Row],[GANANCIA
UNIT.(S/.)]]*'🧾 Factura Comercial'!G58</f>
        <v>0</v>
      </c>
      <c r="AU56" s="280">
        <f>IF(TABLA_BASE[[#This Row],[PRECIO VTA.
c/IGV(S/.)]]=0,0,TABLA_BASE[[#This Row],[GANANCIA
UNIT.(S/.)]]/TABLA_BASE[[#This Row],[PRECIO VTA.
c/IGV(S/.)]])</f>
        <v>0</v>
      </c>
      <c r="AV56" s="280">
        <f>IF(TABLA_BASE[[#This Row],[C/M UNIT.
(S/.)]]=0,0,TABLA_BASE[[#This Row],[GANANCIA
UNIT.(S/.)]]/TABLA_BASE[[#This Row],[C/M UNIT.
(S/.)]])</f>
        <v>0</v>
      </c>
      <c r="AW56" s="277" t="str">
        <f>IF(TABLA_BASE[[#This Row],[MARGEN
%]]&gt;=0.5,"🟢 ALTO",IF(TABLA_BASE[[#This Row],[MARGEN
%]]&gt;=0.3,"🟡 MEDIO","🔴 BAJO"))</f>
        <v>🔴 BAJO</v>
      </c>
    </row>
    <row r="57" spans="1:49" ht="16.5" hidden="1" thickTop="1" thickBot="1" x14ac:dyDescent="0.3">
      <c r="A57" s="277">
        <f>'🧾 Factura Comercial'!E59</f>
        <v>0</v>
      </c>
      <c r="B57" s="277">
        <f>'🧾 Factura Comercial'!F59</f>
        <v>0</v>
      </c>
      <c r="C57" s="278">
        <f>'🧾 Factura Comercial'!G59</f>
        <v>0</v>
      </c>
      <c r="D57" s="279">
        <f>'🧾 Factura Comercial'!H59</f>
        <v>0</v>
      </c>
      <c r="E57" s="279">
        <f>'🧾 Factura Comercial'!I59</f>
        <v>0</v>
      </c>
      <c r="F57" s="280">
        <f>IF('🧾 Tributos Aduana'!$F$6=0,0,'🧾 Factura Comercial'!I59/'🧾 Tributos Aduana'!$F$6)</f>
        <v>0</v>
      </c>
      <c r="G57" s="281">
        <f>'🧾 Factura Comercial'!H59*'📋 Datos Generales'!$E$19</f>
        <v>0</v>
      </c>
      <c r="H57" s="281">
        <f>TABLA_BASE[[#This Row],[FOB UNIT.
(S/.)]]*TABLA_BASE[[#This Row],[CANTIDAD
(unid.)]]</f>
        <v>0</v>
      </c>
      <c r="I57" s="283">
        <f>IF('🧾 Tributos Aduana'!$F$6=0,0,'🧾 Tributos Aduana'!$F$17*('🧾 Factura Comercial'!H59/'🧾 Tributos Aduana'!$F$6))</f>
        <v>0</v>
      </c>
      <c r="J57" s="283">
        <f>TABLA_BASE[[#This Row],[ADV UNIT.
(US$)
⚠️COSTO]]*TABLA_BASE[[#This Row],[CANTIDAD
(unid.)]]</f>
        <v>0</v>
      </c>
      <c r="K57" s="282">
        <f>IF('🧾 Tributos Aduana'!$F$6=0,0,'🧾 Tributos Aduana'!$F$18*('🧾 Factura Comercial'!H59/'🧾 Tributos Aduana'!$F$6))</f>
        <v>0</v>
      </c>
      <c r="L57" s="283">
        <f>TABLA_BASE[[#This Row],[IPM UNIT.
(US$)
✅CF]]*TABLA_BASE[[#This Row],[CANTIDAD
(unid.)]]</f>
        <v>0</v>
      </c>
      <c r="M57" s="282">
        <f>IF('🧾 Tributos Aduana'!$F$6=0,0,'🧾 Tributos Aduana'!$F$19*('🧾 Factura Comercial'!H59/'🧾 Tributos Aduana'!$F$6))</f>
        <v>0</v>
      </c>
      <c r="N57" s="283">
        <f>TABLA_BASE[[#This Row],[IGV UNIT.
(US$)
✅CF]]*TABLA_BASE[[#This Row],[CANTIDAD
(unid.)]]</f>
        <v>0</v>
      </c>
      <c r="O57" s="283">
        <f>IF('🧾 Tributos Aduana'!$F$6=0,0,'🧾 Tributos Aduana'!$F$23*('🧾 Factura Comercial'!H59/'🧾 Tributos Aduana'!$F$6))</f>
        <v>0</v>
      </c>
      <c r="P57" s="283">
        <f>TABLA_BASE[[#This Row],[PERCEP.
UNIT.(US$)
✅CF]]*TABLA_BASE[[#This Row],[CANTIDAD
(unid.)]]</f>
        <v>0</v>
      </c>
      <c r="Q57" s="282">
        <f>TABLA_BASE[[#This Row],[ADV UNIT.
(US$)
⚠️COSTO]]+TABLA_BASE[[#This Row],[IPM UNIT.
(US$)
✅CF]]+TABLA_BASE[[#This Row],[IGV UNIT.
(US$)
✅CF]]</f>
        <v>0</v>
      </c>
      <c r="R57" s="283">
        <f>TABLA_BASE[[#This Row],[DEUDA
ADUANERA
UNIT.]]*TABLA_BASE[[#This Row],[CANTIDAD
(unid.)]]</f>
        <v>0</v>
      </c>
      <c r="S57" s="284">
        <f>TABLA_BASE[[#This Row],[ADV UNIT.
(US$)
⚠️COSTO]]*'📋 Datos Generales'!$E$19</f>
        <v>0</v>
      </c>
      <c r="T57" s="284">
        <f>TABLA_BASE[[#This Row],[ADV UNIT.
(S/.)]]*TABLA_BASE[[#This Row],[CANTIDAD
(unid.)]]</f>
        <v>0</v>
      </c>
      <c r="U57" s="284">
        <f>TABLA_BASE[[#This Row],[IPM UNIT.
(US$)
✅CF]]*'📋 Datos Generales'!$E$19</f>
        <v>0</v>
      </c>
      <c r="V57" s="284">
        <f>TABLA_BASE[[#This Row],[IPM UNIT.
(S/.)]]*TABLA_BASE[[#This Row],[CANTIDAD
(unid.)]]</f>
        <v>0</v>
      </c>
      <c r="W57" s="284">
        <f>TABLA_BASE[[#This Row],[IGV UNIT.
(US$)
✅CF]]*'📋 Datos Generales'!$E$19</f>
        <v>0</v>
      </c>
      <c r="X57" s="284">
        <f>TABLA_BASE[[#This Row],[IGV UNIT.
(S/.)]]*TABLA_BASE[[#This Row],[CANTIDAD
(unid.)]]</f>
        <v>0</v>
      </c>
      <c r="Y57" s="284">
        <f>TABLA_BASE[[#This Row],[PERCEP.
UNIT.(US$)
✅CF]]*'📋 Datos Generales'!$E$19</f>
        <v>0</v>
      </c>
      <c r="Z57" s="284">
        <f>TABLA_BASE[[#This Row],[PERCEP.
UNIT.(S/.)]]*TABLA_BASE[[#This Row],[CANTIDAD
(unid.)]]</f>
        <v>0</v>
      </c>
      <c r="AA57" s="282">
        <f>TABLA_BASE[[#This Row],[ADV UNIT.
(US$)
⚠️COSTO]]+TABLA_BASE[[#This Row],[IPM UNIT.
(US$)
✅CF]]+TABLA_BASE[[#This Row],[IGV UNIT.
(US$)
✅CF]]+TABLA_BASE[[#This Row],[PERCEP.
UNIT.(US$)
✅CF]]</f>
        <v>0</v>
      </c>
      <c r="AB57" s="282">
        <f>TABLA_BASE[[#This Row],[TOTAL PAGO
SUNAT
UNIT.(US$)]]*TABLA_BASE[[#This Row],[CANTIDAD
(unid.)]]</f>
        <v>0</v>
      </c>
      <c r="AC57" s="284">
        <f>TABLA_BASE[[#This Row],[TOTAL PAGO
SUNAT
UNIT.(US$)]]*'📋 Datos Generales'!$E$19</f>
        <v>0</v>
      </c>
      <c r="AD57" s="284">
        <f>TABLA_BASE[[#This Row],[TOTAL TRIB.
UNIT.(S/.)]]*TABLA_BASE[[#This Row],[CANTIDAD
(unid.)]]</f>
        <v>0</v>
      </c>
      <c r="AE57" s="282">
        <f>IF('🧾 Factura Comercial'!G59=0,0,'📦 Gastos Importación'!$E$28*(IF('🧾 Tributos Aduana'!$F$6=0,0,'🧾 Factura Comercial'!I59/'🧾 Tributos Aduana'!$F$6))/'🧾 Factura Comercial'!G59)</f>
        <v>0</v>
      </c>
      <c r="AF57" s="282">
        <f>TABLA_BASE[[#This Row],[GASTOS IMP.
UNIT.(US$)]]*TABLA_BASE[[#This Row],[CANTIDAD
(unid.)]]</f>
        <v>0</v>
      </c>
      <c r="AG57" s="284">
        <f>TABLA_BASE[[#This Row],[GASTOS IMP.
UNIT.(US$)]]*'📋 Datos Generales'!$E$19</f>
        <v>0</v>
      </c>
      <c r="AH57" s="284">
        <f>TABLA_BASE[[#This Row],[GASTOS IMP.
UNIT.(S/.)]]*TABLA_BASE[[#This Row],[CANTIDAD
(unid.)]]</f>
        <v>0</v>
      </c>
      <c r="AI57" s="283">
        <f>'🧮 Costos x Producto'!J61</f>
        <v>0</v>
      </c>
      <c r="AJ57" s="282">
        <f>'🧮 Costos x Producto'!K61</f>
        <v>0</v>
      </c>
      <c r="AK57" s="282">
        <f>IF('🧾 Factura Comercial'!G59=0,0,'🧾 Tributos Aduana'!$F$17*(IF('🧾 Tributos Aduana'!$F$6=0,0,'🧾 Factura Comercial'!I59/'🧾 Tributos Aduana'!$F$6))/'🧾 Factura Comercial'!G59)</f>
        <v>0</v>
      </c>
      <c r="AL57" s="282">
        <f>IF('🧾 Factura Comercial'!G59=0,0,'🏦 Crédito Fiscal'!$C$16*(IF('🧾 Tributos Aduana'!$F$6=0,0,'🧾 Factura Comercial'!I59/'🧾 Tributos Aduana'!$F$6))/'🧾 Factura Comercial'!G59)</f>
        <v>0</v>
      </c>
      <c r="AM57" s="284">
        <f>TABLA_BASE[[#This Row],[CF UNIT.
✅RECUP.
(US$)]]*'📋 Datos Generales'!$E$19</f>
        <v>0</v>
      </c>
      <c r="AN57" s="281">
        <f>TABLA_BASE[[#This Row],[CF UNIT.
✅RECUP.(S/.)]]*TABLA_BASE[[#This Row],[CANTIDAD
(unid.)]]</f>
        <v>0</v>
      </c>
      <c r="AO57" s="298">
        <f>'💰 Precio de Venta'!G62</f>
        <v>0</v>
      </c>
      <c r="AP57" s="284">
        <f>'💰 Precio de Venta'!H62</f>
        <v>0</v>
      </c>
      <c r="AQ57" s="284">
        <f>'💰 Precio de Venta'!I62</f>
        <v>0</v>
      </c>
      <c r="AR57" s="281">
        <f>'💰 Precio de Venta'!J62</f>
        <v>0</v>
      </c>
      <c r="AS57" s="300">
        <f>'💰 Precio de Venta'!K62</f>
        <v>0</v>
      </c>
      <c r="AT57" s="281">
        <f>TABLA_BASE[[#This Row],[GANANCIA
UNIT.(S/.)]]*'🧾 Factura Comercial'!G59</f>
        <v>0</v>
      </c>
      <c r="AU57" s="280">
        <f>IF(TABLA_BASE[[#This Row],[PRECIO VTA.
c/IGV(S/.)]]=0,0,TABLA_BASE[[#This Row],[GANANCIA
UNIT.(S/.)]]/TABLA_BASE[[#This Row],[PRECIO VTA.
c/IGV(S/.)]])</f>
        <v>0</v>
      </c>
      <c r="AV57" s="280">
        <f>IF(TABLA_BASE[[#This Row],[C/M UNIT.
(S/.)]]=0,0,TABLA_BASE[[#This Row],[GANANCIA
UNIT.(S/.)]]/TABLA_BASE[[#This Row],[C/M UNIT.
(S/.)]])</f>
        <v>0</v>
      </c>
      <c r="AW57" s="277" t="str">
        <f>IF(TABLA_BASE[[#This Row],[MARGEN
%]]&gt;=0.5,"🟢 ALTO",IF(TABLA_BASE[[#This Row],[MARGEN
%]]&gt;=0.3,"🟡 MEDIO","🔴 BAJO"))</f>
        <v>🔴 BAJO</v>
      </c>
    </row>
    <row r="58" spans="1:49" ht="16.5" hidden="1" thickTop="1" thickBot="1" x14ac:dyDescent="0.3">
      <c r="A58" s="277">
        <f>'🧾 Factura Comercial'!E60</f>
        <v>0</v>
      </c>
      <c r="B58" s="277">
        <f>'🧾 Factura Comercial'!F60</f>
        <v>0</v>
      </c>
      <c r="C58" s="278">
        <f>'🧾 Factura Comercial'!G60</f>
        <v>0</v>
      </c>
      <c r="D58" s="279">
        <f>'🧾 Factura Comercial'!H60</f>
        <v>0</v>
      </c>
      <c r="E58" s="279">
        <f>'🧾 Factura Comercial'!I60</f>
        <v>0</v>
      </c>
      <c r="F58" s="280">
        <f>IF('🧾 Tributos Aduana'!$F$6=0,0,'🧾 Factura Comercial'!I60/'🧾 Tributos Aduana'!$F$6)</f>
        <v>0</v>
      </c>
      <c r="G58" s="281">
        <f>'🧾 Factura Comercial'!H60*'📋 Datos Generales'!$E$19</f>
        <v>0</v>
      </c>
      <c r="H58" s="281">
        <f>TABLA_BASE[[#This Row],[FOB UNIT.
(S/.)]]*TABLA_BASE[[#This Row],[CANTIDAD
(unid.)]]</f>
        <v>0</v>
      </c>
      <c r="I58" s="283">
        <f>IF('🧾 Tributos Aduana'!$F$6=0,0,'🧾 Tributos Aduana'!$F$17*('🧾 Factura Comercial'!H60/'🧾 Tributos Aduana'!$F$6))</f>
        <v>0</v>
      </c>
      <c r="J58" s="283">
        <f>TABLA_BASE[[#This Row],[ADV UNIT.
(US$)
⚠️COSTO]]*TABLA_BASE[[#This Row],[CANTIDAD
(unid.)]]</f>
        <v>0</v>
      </c>
      <c r="K58" s="282">
        <f>IF('🧾 Tributos Aduana'!$F$6=0,0,'🧾 Tributos Aduana'!$F$18*('🧾 Factura Comercial'!H60/'🧾 Tributos Aduana'!$F$6))</f>
        <v>0</v>
      </c>
      <c r="L58" s="283">
        <f>TABLA_BASE[[#This Row],[IPM UNIT.
(US$)
✅CF]]*TABLA_BASE[[#This Row],[CANTIDAD
(unid.)]]</f>
        <v>0</v>
      </c>
      <c r="M58" s="282">
        <f>IF('🧾 Tributos Aduana'!$F$6=0,0,'🧾 Tributos Aduana'!$F$19*('🧾 Factura Comercial'!H60/'🧾 Tributos Aduana'!$F$6))</f>
        <v>0</v>
      </c>
      <c r="N58" s="283">
        <f>TABLA_BASE[[#This Row],[IGV UNIT.
(US$)
✅CF]]*TABLA_BASE[[#This Row],[CANTIDAD
(unid.)]]</f>
        <v>0</v>
      </c>
      <c r="O58" s="283">
        <f>IF('🧾 Tributos Aduana'!$F$6=0,0,'🧾 Tributos Aduana'!$F$23*('🧾 Factura Comercial'!H60/'🧾 Tributos Aduana'!$F$6))</f>
        <v>0</v>
      </c>
      <c r="P58" s="283">
        <f>TABLA_BASE[[#This Row],[PERCEP.
UNIT.(US$)
✅CF]]*TABLA_BASE[[#This Row],[CANTIDAD
(unid.)]]</f>
        <v>0</v>
      </c>
      <c r="Q58" s="282">
        <f>TABLA_BASE[[#This Row],[ADV UNIT.
(US$)
⚠️COSTO]]+TABLA_BASE[[#This Row],[IPM UNIT.
(US$)
✅CF]]+TABLA_BASE[[#This Row],[IGV UNIT.
(US$)
✅CF]]</f>
        <v>0</v>
      </c>
      <c r="R58" s="283">
        <f>TABLA_BASE[[#This Row],[DEUDA
ADUANERA
UNIT.]]*TABLA_BASE[[#This Row],[CANTIDAD
(unid.)]]</f>
        <v>0</v>
      </c>
      <c r="S58" s="284">
        <f>TABLA_BASE[[#This Row],[ADV UNIT.
(US$)
⚠️COSTO]]*'📋 Datos Generales'!$E$19</f>
        <v>0</v>
      </c>
      <c r="T58" s="284">
        <f>TABLA_BASE[[#This Row],[ADV UNIT.
(S/.)]]*TABLA_BASE[[#This Row],[CANTIDAD
(unid.)]]</f>
        <v>0</v>
      </c>
      <c r="U58" s="284">
        <f>TABLA_BASE[[#This Row],[IPM UNIT.
(US$)
✅CF]]*'📋 Datos Generales'!$E$19</f>
        <v>0</v>
      </c>
      <c r="V58" s="284">
        <f>TABLA_BASE[[#This Row],[IPM UNIT.
(S/.)]]*TABLA_BASE[[#This Row],[CANTIDAD
(unid.)]]</f>
        <v>0</v>
      </c>
      <c r="W58" s="284">
        <f>TABLA_BASE[[#This Row],[IGV UNIT.
(US$)
✅CF]]*'📋 Datos Generales'!$E$19</f>
        <v>0</v>
      </c>
      <c r="X58" s="284">
        <f>TABLA_BASE[[#This Row],[IGV UNIT.
(S/.)]]*TABLA_BASE[[#This Row],[CANTIDAD
(unid.)]]</f>
        <v>0</v>
      </c>
      <c r="Y58" s="284">
        <f>TABLA_BASE[[#This Row],[PERCEP.
UNIT.(US$)
✅CF]]*'📋 Datos Generales'!$E$19</f>
        <v>0</v>
      </c>
      <c r="Z58" s="284">
        <f>TABLA_BASE[[#This Row],[PERCEP.
UNIT.(S/.)]]*TABLA_BASE[[#This Row],[CANTIDAD
(unid.)]]</f>
        <v>0</v>
      </c>
      <c r="AA58" s="282">
        <f>TABLA_BASE[[#This Row],[ADV UNIT.
(US$)
⚠️COSTO]]+TABLA_BASE[[#This Row],[IPM UNIT.
(US$)
✅CF]]+TABLA_BASE[[#This Row],[IGV UNIT.
(US$)
✅CF]]+TABLA_BASE[[#This Row],[PERCEP.
UNIT.(US$)
✅CF]]</f>
        <v>0</v>
      </c>
      <c r="AB58" s="282">
        <f>TABLA_BASE[[#This Row],[TOTAL PAGO
SUNAT
UNIT.(US$)]]*TABLA_BASE[[#This Row],[CANTIDAD
(unid.)]]</f>
        <v>0</v>
      </c>
      <c r="AC58" s="284">
        <f>TABLA_BASE[[#This Row],[TOTAL PAGO
SUNAT
UNIT.(US$)]]*'📋 Datos Generales'!$E$19</f>
        <v>0</v>
      </c>
      <c r="AD58" s="284">
        <f>TABLA_BASE[[#This Row],[TOTAL TRIB.
UNIT.(S/.)]]*TABLA_BASE[[#This Row],[CANTIDAD
(unid.)]]</f>
        <v>0</v>
      </c>
      <c r="AE58" s="282">
        <f>IF('🧾 Factura Comercial'!G60=0,0,'📦 Gastos Importación'!$E$28*(IF('🧾 Tributos Aduana'!$F$6=0,0,'🧾 Factura Comercial'!I60/'🧾 Tributos Aduana'!$F$6))/'🧾 Factura Comercial'!G60)</f>
        <v>0</v>
      </c>
      <c r="AF58" s="282">
        <f>TABLA_BASE[[#This Row],[GASTOS IMP.
UNIT.(US$)]]*TABLA_BASE[[#This Row],[CANTIDAD
(unid.)]]</f>
        <v>0</v>
      </c>
      <c r="AG58" s="284">
        <f>TABLA_BASE[[#This Row],[GASTOS IMP.
UNIT.(US$)]]*'📋 Datos Generales'!$E$19</f>
        <v>0</v>
      </c>
      <c r="AH58" s="284">
        <f>TABLA_BASE[[#This Row],[GASTOS IMP.
UNIT.(S/.)]]*TABLA_BASE[[#This Row],[CANTIDAD
(unid.)]]</f>
        <v>0</v>
      </c>
      <c r="AI58" s="283">
        <f>'🧮 Costos x Producto'!J62</f>
        <v>0</v>
      </c>
      <c r="AJ58" s="282">
        <f>'🧮 Costos x Producto'!K62</f>
        <v>0</v>
      </c>
      <c r="AK58" s="282">
        <f>IF('🧾 Factura Comercial'!G60=0,0,'🧾 Tributos Aduana'!$F$17*(IF('🧾 Tributos Aduana'!$F$6=0,0,'🧾 Factura Comercial'!I60/'🧾 Tributos Aduana'!$F$6))/'🧾 Factura Comercial'!G60)</f>
        <v>0</v>
      </c>
      <c r="AL58" s="282">
        <f>IF('🧾 Factura Comercial'!G60=0,0,'🏦 Crédito Fiscal'!$C$16*(IF('🧾 Tributos Aduana'!$F$6=0,0,'🧾 Factura Comercial'!I60/'🧾 Tributos Aduana'!$F$6))/'🧾 Factura Comercial'!G60)</f>
        <v>0</v>
      </c>
      <c r="AM58" s="284">
        <f>TABLA_BASE[[#This Row],[CF UNIT.
✅RECUP.
(US$)]]*'📋 Datos Generales'!$E$19</f>
        <v>0</v>
      </c>
      <c r="AN58" s="281">
        <f>TABLA_BASE[[#This Row],[CF UNIT.
✅RECUP.(S/.)]]*TABLA_BASE[[#This Row],[CANTIDAD
(unid.)]]</f>
        <v>0</v>
      </c>
      <c r="AO58" s="298">
        <f>'💰 Precio de Venta'!G63</f>
        <v>0</v>
      </c>
      <c r="AP58" s="284">
        <f>'💰 Precio de Venta'!H63</f>
        <v>0</v>
      </c>
      <c r="AQ58" s="284">
        <f>'💰 Precio de Venta'!I63</f>
        <v>0</v>
      </c>
      <c r="AR58" s="281">
        <f>'💰 Precio de Venta'!J63</f>
        <v>0</v>
      </c>
      <c r="AS58" s="300">
        <f>'💰 Precio de Venta'!K63</f>
        <v>0</v>
      </c>
      <c r="AT58" s="281">
        <f>TABLA_BASE[[#This Row],[GANANCIA
UNIT.(S/.)]]*'🧾 Factura Comercial'!G60</f>
        <v>0</v>
      </c>
      <c r="AU58" s="280">
        <f>IF(TABLA_BASE[[#This Row],[PRECIO VTA.
c/IGV(S/.)]]=0,0,TABLA_BASE[[#This Row],[GANANCIA
UNIT.(S/.)]]/TABLA_BASE[[#This Row],[PRECIO VTA.
c/IGV(S/.)]])</f>
        <v>0</v>
      </c>
      <c r="AV58" s="280">
        <f>IF(TABLA_BASE[[#This Row],[C/M UNIT.
(S/.)]]=0,0,TABLA_BASE[[#This Row],[GANANCIA
UNIT.(S/.)]]/TABLA_BASE[[#This Row],[C/M UNIT.
(S/.)]])</f>
        <v>0</v>
      </c>
      <c r="AW58" s="277" t="str">
        <f>IF(TABLA_BASE[[#This Row],[MARGEN
%]]&gt;=0.5,"🟢 ALTO",IF(TABLA_BASE[[#This Row],[MARGEN
%]]&gt;=0.3,"🟡 MEDIO","🔴 BAJO"))</f>
        <v>🔴 BAJO</v>
      </c>
    </row>
    <row r="59" spans="1:49" ht="16.5" hidden="1" thickTop="1" thickBot="1" x14ac:dyDescent="0.3">
      <c r="A59" s="277">
        <f>'🧾 Factura Comercial'!E61</f>
        <v>0</v>
      </c>
      <c r="B59" s="277">
        <f>'🧾 Factura Comercial'!F61</f>
        <v>0</v>
      </c>
      <c r="C59" s="278">
        <f>'🧾 Factura Comercial'!G61</f>
        <v>0</v>
      </c>
      <c r="D59" s="279">
        <f>'🧾 Factura Comercial'!H61</f>
        <v>0</v>
      </c>
      <c r="E59" s="279">
        <f>'🧾 Factura Comercial'!I61</f>
        <v>0</v>
      </c>
      <c r="F59" s="280">
        <f>IF('🧾 Tributos Aduana'!$F$6=0,0,'🧾 Factura Comercial'!I61/'🧾 Tributos Aduana'!$F$6)</f>
        <v>0</v>
      </c>
      <c r="G59" s="281">
        <f>'🧾 Factura Comercial'!H61*'📋 Datos Generales'!$E$19</f>
        <v>0</v>
      </c>
      <c r="H59" s="281">
        <f>TABLA_BASE[[#This Row],[FOB UNIT.
(S/.)]]*TABLA_BASE[[#This Row],[CANTIDAD
(unid.)]]</f>
        <v>0</v>
      </c>
      <c r="I59" s="283">
        <f>IF('🧾 Tributos Aduana'!$F$6=0,0,'🧾 Tributos Aduana'!$F$17*('🧾 Factura Comercial'!H61/'🧾 Tributos Aduana'!$F$6))</f>
        <v>0</v>
      </c>
      <c r="J59" s="283">
        <f>TABLA_BASE[[#This Row],[ADV UNIT.
(US$)
⚠️COSTO]]*TABLA_BASE[[#This Row],[CANTIDAD
(unid.)]]</f>
        <v>0</v>
      </c>
      <c r="K59" s="282">
        <f>IF('🧾 Tributos Aduana'!$F$6=0,0,'🧾 Tributos Aduana'!$F$18*('🧾 Factura Comercial'!H61/'🧾 Tributos Aduana'!$F$6))</f>
        <v>0</v>
      </c>
      <c r="L59" s="283">
        <f>TABLA_BASE[[#This Row],[IPM UNIT.
(US$)
✅CF]]*TABLA_BASE[[#This Row],[CANTIDAD
(unid.)]]</f>
        <v>0</v>
      </c>
      <c r="M59" s="282">
        <f>IF('🧾 Tributos Aduana'!$F$6=0,0,'🧾 Tributos Aduana'!$F$19*('🧾 Factura Comercial'!H61/'🧾 Tributos Aduana'!$F$6))</f>
        <v>0</v>
      </c>
      <c r="N59" s="283">
        <f>TABLA_BASE[[#This Row],[IGV UNIT.
(US$)
✅CF]]*TABLA_BASE[[#This Row],[CANTIDAD
(unid.)]]</f>
        <v>0</v>
      </c>
      <c r="O59" s="283">
        <f>IF('🧾 Tributos Aduana'!$F$6=0,0,'🧾 Tributos Aduana'!$F$23*('🧾 Factura Comercial'!H61/'🧾 Tributos Aduana'!$F$6))</f>
        <v>0</v>
      </c>
      <c r="P59" s="283">
        <f>TABLA_BASE[[#This Row],[PERCEP.
UNIT.(US$)
✅CF]]*TABLA_BASE[[#This Row],[CANTIDAD
(unid.)]]</f>
        <v>0</v>
      </c>
      <c r="Q59" s="282">
        <f>TABLA_BASE[[#This Row],[ADV UNIT.
(US$)
⚠️COSTO]]+TABLA_BASE[[#This Row],[IPM UNIT.
(US$)
✅CF]]+TABLA_BASE[[#This Row],[IGV UNIT.
(US$)
✅CF]]</f>
        <v>0</v>
      </c>
      <c r="R59" s="283">
        <f>TABLA_BASE[[#This Row],[DEUDA
ADUANERA
UNIT.]]*TABLA_BASE[[#This Row],[CANTIDAD
(unid.)]]</f>
        <v>0</v>
      </c>
      <c r="S59" s="284">
        <f>TABLA_BASE[[#This Row],[ADV UNIT.
(US$)
⚠️COSTO]]*'📋 Datos Generales'!$E$19</f>
        <v>0</v>
      </c>
      <c r="T59" s="284">
        <f>TABLA_BASE[[#This Row],[ADV UNIT.
(S/.)]]*TABLA_BASE[[#This Row],[CANTIDAD
(unid.)]]</f>
        <v>0</v>
      </c>
      <c r="U59" s="284">
        <f>TABLA_BASE[[#This Row],[IPM UNIT.
(US$)
✅CF]]*'📋 Datos Generales'!$E$19</f>
        <v>0</v>
      </c>
      <c r="V59" s="284">
        <f>TABLA_BASE[[#This Row],[IPM UNIT.
(S/.)]]*TABLA_BASE[[#This Row],[CANTIDAD
(unid.)]]</f>
        <v>0</v>
      </c>
      <c r="W59" s="284">
        <f>TABLA_BASE[[#This Row],[IGV UNIT.
(US$)
✅CF]]*'📋 Datos Generales'!$E$19</f>
        <v>0</v>
      </c>
      <c r="X59" s="284">
        <f>TABLA_BASE[[#This Row],[IGV UNIT.
(S/.)]]*TABLA_BASE[[#This Row],[CANTIDAD
(unid.)]]</f>
        <v>0</v>
      </c>
      <c r="Y59" s="284">
        <f>TABLA_BASE[[#This Row],[PERCEP.
UNIT.(US$)
✅CF]]*'📋 Datos Generales'!$E$19</f>
        <v>0</v>
      </c>
      <c r="Z59" s="284">
        <f>TABLA_BASE[[#This Row],[PERCEP.
UNIT.(S/.)]]*TABLA_BASE[[#This Row],[CANTIDAD
(unid.)]]</f>
        <v>0</v>
      </c>
      <c r="AA59" s="282">
        <f>TABLA_BASE[[#This Row],[ADV UNIT.
(US$)
⚠️COSTO]]+TABLA_BASE[[#This Row],[IPM UNIT.
(US$)
✅CF]]+TABLA_BASE[[#This Row],[IGV UNIT.
(US$)
✅CF]]+TABLA_BASE[[#This Row],[PERCEP.
UNIT.(US$)
✅CF]]</f>
        <v>0</v>
      </c>
      <c r="AB59" s="282">
        <f>TABLA_BASE[[#This Row],[TOTAL PAGO
SUNAT
UNIT.(US$)]]*TABLA_BASE[[#This Row],[CANTIDAD
(unid.)]]</f>
        <v>0</v>
      </c>
      <c r="AC59" s="284">
        <f>TABLA_BASE[[#This Row],[TOTAL PAGO
SUNAT
UNIT.(US$)]]*'📋 Datos Generales'!$E$19</f>
        <v>0</v>
      </c>
      <c r="AD59" s="284">
        <f>TABLA_BASE[[#This Row],[TOTAL TRIB.
UNIT.(S/.)]]*TABLA_BASE[[#This Row],[CANTIDAD
(unid.)]]</f>
        <v>0</v>
      </c>
      <c r="AE59" s="282">
        <f>IF('🧾 Factura Comercial'!G61=0,0,'📦 Gastos Importación'!$E$28*(IF('🧾 Tributos Aduana'!$F$6=0,0,'🧾 Factura Comercial'!I61/'🧾 Tributos Aduana'!$F$6))/'🧾 Factura Comercial'!G61)</f>
        <v>0</v>
      </c>
      <c r="AF59" s="282">
        <f>TABLA_BASE[[#This Row],[GASTOS IMP.
UNIT.(US$)]]*TABLA_BASE[[#This Row],[CANTIDAD
(unid.)]]</f>
        <v>0</v>
      </c>
      <c r="AG59" s="284">
        <f>TABLA_BASE[[#This Row],[GASTOS IMP.
UNIT.(US$)]]*'📋 Datos Generales'!$E$19</f>
        <v>0</v>
      </c>
      <c r="AH59" s="284">
        <f>TABLA_BASE[[#This Row],[GASTOS IMP.
UNIT.(S/.)]]*TABLA_BASE[[#This Row],[CANTIDAD
(unid.)]]</f>
        <v>0</v>
      </c>
      <c r="AI59" s="283">
        <f>'🧮 Costos x Producto'!J63</f>
        <v>0</v>
      </c>
      <c r="AJ59" s="282">
        <f>'🧮 Costos x Producto'!K63</f>
        <v>0</v>
      </c>
      <c r="AK59" s="282">
        <f>IF('🧾 Factura Comercial'!G61=0,0,'🧾 Tributos Aduana'!$F$17*(IF('🧾 Tributos Aduana'!$F$6=0,0,'🧾 Factura Comercial'!I61/'🧾 Tributos Aduana'!$F$6))/'🧾 Factura Comercial'!G61)</f>
        <v>0</v>
      </c>
      <c r="AL59" s="282">
        <f>IF('🧾 Factura Comercial'!G61=0,0,'🏦 Crédito Fiscal'!$C$16*(IF('🧾 Tributos Aduana'!$F$6=0,0,'🧾 Factura Comercial'!I61/'🧾 Tributos Aduana'!$F$6))/'🧾 Factura Comercial'!G61)</f>
        <v>0</v>
      </c>
      <c r="AM59" s="284">
        <f>TABLA_BASE[[#This Row],[CF UNIT.
✅RECUP.
(US$)]]*'📋 Datos Generales'!$E$19</f>
        <v>0</v>
      </c>
      <c r="AN59" s="281">
        <f>TABLA_BASE[[#This Row],[CF UNIT.
✅RECUP.(S/.)]]*TABLA_BASE[[#This Row],[CANTIDAD
(unid.)]]</f>
        <v>0</v>
      </c>
      <c r="AO59" s="298">
        <f>'💰 Precio de Venta'!G64</f>
        <v>0</v>
      </c>
      <c r="AP59" s="284">
        <f>'💰 Precio de Venta'!H64</f>
        <v>0</v>
      </c>
      <c r="AQ59" s="284">
        <f>'💰 Precio de Venta'!I64</f>
        <v>0</v>
      </c>
      <c r="AR59" s="281">
        <f>'💰 Precio de Venta'!J64</f>
        <v>0</v>
      </c>
      <c r="AS59" s="300">
        <f>'💰 Precio de Venta'!K64</f>
        <v>0</v>
      </c>
      <c r="AT59" s="281">
        <f>TABLA_BASE[[#This Row],[GANANCIA
UNIT.(S/.)]]*'🧾 Factura Comercial'!G61</f>
        <v>0</v>
      </c>
      <c r="AU59" s="280">
        <f>IF(TABLA_BASE[[#This Row],[PRECIO VTA.
c/IGV(S/.)]]=0,0,TABLA_BASE[[#This Row],[GANANCIA
UNIT.(S/.)]]/TABLA_BASE[[#This Row],[PRECIO VTA.
c/IGV(S/.)]])</f>
        <v>0</v>
      </c>
      <c r="AV59" s="280">
        <f>IF(TABLA_BASE[[#This Row],[C/M UNIT.
(S/.)]]=0,0,TABLA_BASE[[#This Row],[GANANCIA
UNIT.(S/.)]]/TABLA_BASE[[#This Row],[C/M UNIT.
(S/.)]])</f>
        <v>0</v>
      </c>
      <c r="AW59" s="277" t="str">
        <f>IF(TABLA_BASE[[#This Row],[MARGEN
%]]&gt;=0.5,"🟢 ALTO",IF(TABLA_BASE[[#This Row],[MARGEN
%]]&gt;=0.3,"🟡 MEDIO","🔴 BAJO"))</f>
        <v>🔴 BAJO</v>
      </c>
    </row>
    <row r="60" spans="1:49" ht="16.5" hidden="1" thickTop="1" thickBot="1" x14ac:dyDescent="0.3">
      <c r="A60" s="277">
        <f>'🧾 Factura Comercial'!E62</f>
        <v>0</v>
      </c>
      <c r="B60" s="277">
        <f>'🧾 Factura Comercial'!F62</f>
        <v>0</v>
      </c>
      <c r="C60" s="278">
        <f>'🧾 Factura Comercial'!G62</f>
        <v>0</v>
      </c>
      <c r="D60" s="279">
        <f>'🧾 Factura Comercial'!H62</f>
        <v>0</v>
      </c>
      <c r="E60" s="279">
        <f>'🧾 Factura Comercial'!I62</f>
        <v>0</v>
      </c>
      <c r="F60" s="280">
        <f>IF('🧾 Tributos Aduana'!$F$6=0,0,'🧾 Factura Comercial'!I62/'🧾 Tributos Aduana'!$F$6)</f>
        <v>0</v>
      </c>
      <c r="G60" s="281">
        <f>'🧾 Factura Comercial'!H62*'📋 Datos Generales'!$E$19</f>
        <v>0</v>
      </c>
      <c r="H60" s="281">
        <f>TABLA_BASE[[#This Row],[FOB UNIT.
(S/.)]]*TABLA_BASE[[#This Row],[CANTIDAD
(unid.)]]</f>
        <v>0</v>
      </c>
      <c r="I60" s="283">
        <f>IF('🧾 Tributos Aduana'!$F$6=0,0,'🧾 Tributos Aduana'!$F$17*('🧾 Factura Comercial'!H62/'🧾 Tributos Aduana'!$F$6))</f>
        <v>0</v>
      </c>
      <c r="J60" s="283">
        <f>TABLA_BASE[[#This Row],[ADV UNIT.
(US$)
⚠️COSTO]]*TABLA_BASE[[#This Row],[CANTIDAD
(unid.)]]</f>
        <v>0</v>
      </c>
      <c r="K60" s="282">
        <f>IF('🧾 Tributos Aduana'!$F$6=0,0,'🧾 Tributos Aduana'!$F$18*('🧾 Factura Comercial'!H62/'🧾 Tributos Aduana'!$F$6))</f>
        <v>0</v>
      </c>
      <c r="L60" s="283">
        <f>TABLA_BASE[[#This Row],[IPM UNIT.
(US$)
✅CF]]*TABLA_BASE[[#This Row],[CANTIDAD
(unid.)]]</f>
        <v>0</v>
      </c>
      <c r="M60" s="282">
        <f>IF('🧾 Tributos Aduana'!$F$6=0,0,'🧾 Tributos Aduana'!$F$19*('🧾 Factura Comercial'!H62/'🧾 Tributos Aduana'!$F$6))</f>
        <v>0</v>
      </c>
      <c r="N60" s="283">
        <f>TABLA_BASE[[#This Row],[IGV UNIT.
(US$)
✅CF]]*TABLA_BASE[[#This Row],[CANTIDAD
(unid.)]]</f>
        <v>0</v>
      </c>
      <c r="O60" s="283">
        <f>IF('🧾 Tributos Aduana'!$F$6=0,0,'🧾 Tributos Aduana'!$F$23*('🧾 Factura Comercial'!H62/'🧾 Tributos Aduana'!$F$6))</f>
        <v>0</v>
      </c>
      <c r="P60" s="283">
        <f>TABLA_BASE[[#This Row],[PERCEP.
UNIT.(US$)
✅CF]]*TABLA_BASE[[#This Row],[CANTIDAD
(unid.)]]</f>
        <v>0</v>
      </c>
      <c r="Q60" s="282">
        <f>TABLA_BASE[[#This Row],[ADV UNIT.
(US$)
⚠️COSTO]]+TABLA_BASE[[#This Row],[IPM UNIT.
(US$)
✅CF]]+TABLA_BASE[[#This Row],[IGV UNIT.
(US$)
✅CF]]</f>
        <v>0</v>
      </c>
      <c r="R60" s="283">
        <f>TABLA_BASE[[#This Row],[DEUDA
ADUANERA
UNIT.]]*TABLA_BASE[[#This Row],[CANTIDAD
(unid.)]]</f>
        <v>0</v>
      </c>
      <c r="S60" s="284">
        <f>TABLA_BASE[[#This Row],[ADV UNIT.
(US$)
⚠️COSTO]]*'📋 Datos Generales'!$E$19</f>
        <v>0</v>
      </c>
      <c r="T60" s="284">
        <f>TABLA_BASE[[#This Row],[ADV UNIT.
(S/.)]]*TABLA_BASE[[#This Row],[CANTIDAD
(unid.)]]</f>
        <v>0</v>
      </c>
      <c r="U60" s="284">
        <f>TABLA_BASE[[#This Row],[IPM UNIT.
(US$)
✅CF]]*'📋 Datos Generales'!$E$19</f>
        <v>0</v>
      </c>
      <c r="V60" s="284">
        <f>TABLA_BASE[[#This Row],[IPM UNIT.
(S/.)]]*TABLA_BASE[[#This Row],[CANTIDAD
(unid.)]]</f>
        <v>0</v>
      </c>
      <c r="W60" s="284">
        <f>TABLA_BASE[[#This Row],[IGV UNIT.
(US$)
✅CF]]*'📋 Datos Generales'!$E$19</f>
        <v>0</v>
      </c>
      <c r="X60" s="284">
        <f>TABLA_BASE[[#This Row],[IGV UNIT.
(S/.)]]*TABLA_BASE[[#This Row],[CANTIDAD
(unid.)]]</f>
        <v>0</v>
      </c>
      <c r="Y60" s="284">
        <f>TABLA_BASE[[#This Row],[PERCEP.
UNIT.(US$)
✅CF]]*'📋 Datos Generales'!$E$19</f>
        <v>0</v>
      </c>
      <c r="Z60" s="284">
        <f>TABLA_BASE[[#This Row],[PERCEP.
UNIT.(S/.)]]*TABLA_BASE[[#This Row],[CANTIDAD
(unid.)]]</f>
        <v>0</v>
      </c>
      <c r="AA60" s="282">
        <f>TABLA_BASE[[#This Row],[ADV UNIT.
(US$)
⚠️COSTO]]+TABLA_BASE[[#This Row],[IPM UNIT.
(US$)
✅CF]]+TABLA_BASE[[#This Row],[IGV UNIT.
(US$)
✅CF]]+TABLA_BASE[[#This Row],[PERCEP.
UNIT.(US$)
✅CF]]</f>
        <v>0</v>
      </c>
      <c r="AB60" s="282">
        <f>TABLA_BASE[[#This Row],[TOTAL PAGO
SUNAT
UNIT.(US$)]]*TABLA_BASE[[#This Row],[CANTIDAD
(unid.)]]</f>
        <v>0</v>
      </c>
      <c r="AC60" s="284">
        <f>TABLA_BASE[[#This Row],[TOTAL PAGO
SUNAT
UNIT.(US$)]]*'📋 Datos Generales'!$E$19</f>
        <v>0</v>
      </c>
      <c r="AD60" s="284">
        <f>TABLA_BASE[[#This Row],[TOTAL TRIB.
UNIT.(S/.)]]*TABLA_BASE[[#This Row],[CANTIDAD
(unid.)]]</f>
        <v>0</v>
      </c>
      <c r="AE60" s="282">
        <f>IF('🧾 Factura Comercial'!G62=0,0,'📦 Gastos Importación'!$E$28*(IF('🧾 Tributos Aduana'!$F$6=0,0,'🧾 Factura Comercial'!I62/'🧾 Tributos Aduana'!$F$6))/'🧾 Factura Comercial'!G62)</f>
        <v>0</v>
      </c>
      <c r="AF60" s="282">
        <f>TABLA_BASE[[#This Row],[GASTOS IMP.
UNIT.(US$)]]*TABLA_BASE[[#This Row],[CANTIDAD
(unid.)]]</f>
        <v>0</v>
      </c>
      <c r="AG60" s="284">
        <f>TABLA_BASE[[#This Row],[GASTOS IMP.
UNIT.(US$)]]*'📋 Datos Generales'!$E$19</f>
        <v>0</v>
      </c>
      <c r="AH60" s="284">
        <f>TABLA_BASE[[#This Row],[GASTOS IMP.
UNIT.(S/.)]]*TABLA_BASE[[#This Row],[CANTIDAD
(unid.)]]</f>
        <v>0</v>
      </c>
      <c r="AI60" s="283">
        <f>'🧮 Costos x Producto'!J64</f>
        <v>0</v>
      </c>
      <c r="AJ60" s="282">
        <f>'🧮 Costos x Producto'!K64</f>
        <v>0</v>
      </c>
      <c r="AK60" s="282">
        <f>IF('🧾 Factura Comercial'!G62=0,0,'🧾 Tributos Aduana'!$F$17*(IF('🧾 Tributos Aduana'!$F$6=0,0,'🧾 Factura Comercial'!I62/'🧾 Tributos Aduana'!$F$6))/'🧾 Factura Comercial'!G62)</f>
        <v>0</v>
      </c>
      <c r="AL60" s="282">
        <f>IF('🧾 Factura Comercial'!G62=0,0,'🏦 Crédito Fiscal'!$C$16*(IF('🧾 Tributos Aduana'!$F$6=0,0,'🧾 Factura Comercial'!I62/'🧾 Tributos Aduana'!$F$6))/'🧾 Factura Comercial'!G62)</f>
        <v>0</v>
      </c>
      <c r="AM60" s="284">
        <f>TABLA_BASE[[#This Row],[CF UNIT.
✅RECUP.
(US$)]]*'📋 Datos Generales'!$E$19</f>
        <v>0</v>
      </c>
      <c r="AN60" s="281">
        <f>TABLA_BASE[[#This Row],[CF UNIT.
✅RECUP.(S/.)]]*TABLA_BASE[[#This Row],[CANTIDAD
(unid.)]]</f>
        <v>0</v>
      </c>
      <c r="AO60" s="298">
        <f>'💰 Precio de Venta'!G65</f>
        <v>0</v>
      </c>
      <c r="AP60" s="284">
        <f>'💰 Precio de Venta'!H65</f>
        <v>0</v>
      </c>
      <c r="AQ60" s="284">
        <f>'💰 Precio de Venta'!I65</f>
        <v>0</v>
      </c>
      <c r="AR60" s="281">
        <f>'💰 Precio de Venta'!J65</f>
        <v>0</v>
      </c>
      <c r="AS60" s="300">
        <f>'💰 Precio de Venta'!K65</f>
        <v>0</v>
      </c>
      <c r="AT60" s="281">
        <f>TABLA_BASE[[#This Row],[GANANCIA
UNIT.(S/.)]]*'🧾 Factura Comercial'!G62</f>
        <v>0</v>
      </c>
      <c r="AU60" s="280">
        <f>IF(TABLA_BASE[[#This Row],[PRECIO VTA.
c/IGV(S/.)]]=0,0,TABLA_BASE[[#This Row],[GANANCIA
UNIT.(S/.)]]/TABLA_BASE[[#This Row],[PRECIO VTA.
c/IGV(S/.)]])</f>
        <v>0</v>
      </c>
      <c r="AV60" s="280">
        <f>IF(TABLA_BASE[[#This Row],[C/M UNIT.
(S/.)]]=0,0,TABLA_BASE[[#This Row],[GANANCIA
UNIT.(S/.)]]/TABLA_BASE[[#This Row],[C/M UNIT.
(S/.)]])</f>
        <v>0</v>
      </c>
      <c r="AW60" s="277" t="str">
        <f>IF(TABLA_BASE[[#This Row],[MARGEN
%]]&gt;=0.5,"🟢 ALTO",IF(TABLA_BASE[[#This Row],[MARGEN
%]]&gt;=0.3,"🟡 MEDIO","🔴 BAJO"))</f>
        <v>🔴 BAJO</v>
      </c>
    </row>
    <row r="61" spans="1:49" ht="16.5" hidden="1" thickTop="1" thickBot="1" x14ac:dyDescent="0.3">
      <c r="A61" s="277">
        <f>'🧾 Factura Comercial'!E63</f>
        <v>0</v>
      </c>
      <c r="B61" s="277">
        <f>'🧾 Factura Comercial'!F63</f>
        <v>0</v>
      </c>
      <c r="C61" s="278">
        <f>'🧾 Factura Comercial'!G63</f>
        <v>0</v>
      </c>
      <c r="D61" s="279">
        <f>'🧾 Factura Comercial'!H63</f>
        <v>0</v>
      </c>
      <c r="E61" s="279">
        <f>'🧾 Factura Comercial'!I63</f>
        <v>0</v>
      </c>
      <c r="F61" s="280">
        <f>IF('🧾 Tributos Aduana'!$F$6=0,0,'🧾 Factura Comercial'!I63/'🧾 Tributos Aduana'!$F$6)</f>
        <v>0</v>
      </c>
      <c r="G61" s="281">
        <f>'🧾 Factura Comercial'!H63*'📋 Datos Generales'!$E$19</f>
        <v>0</v>
      </c>
      <c r="H61" s="281">
        <f>TABLA_BASE[[#This Row],[FOB UNIT.
(S/.)]]*TABLA_BASE[[#This Row],[CANTIDAD
(unid.)]]</f>
        <v>0</v>
      </c>
      <c r="I61" s="283">
        <f>IF('🧾 Tributos Aduana'!$F$6=0,0,'🧾 Tributos Aduana'!$F$17*('🧾 Factura Comercial'!H63/'🧾 Tributos Aduana'!$F$6))</f>
        <v>0</v>
      </c>
      <c r="J61" s="283">
        <f>TABLA_BASE[[#This Row],[ADV UNIT.
(US$)
⚠️COSTO]]*TABLA_BASE[[#This Row],[CANTIDAD
(unid.)]]</f>
        <v>0</v>
      </c>
      <c r="K61" s="282">
        <f>IF('🧾 Tributos Aduana'!$F$6=0,0,'🧾 Tributos Aduana'!$F$18*('🧾 Factura Comercial'!H63/'🧾 Tributos Aduana'!$F$6))</f>
        <v>0</v>
      </c>
      <c r="L61" s="283">
        <f>TABLA_BASE[[#This Row],[IPM UNIT.
(US$)
✅CF]]*TABLA_BASE[[#This Row],[CANTIDAD
(unid.)]]</f>
        <v>0</v>
      </c>
      <c r="M61" s="282">
        <f>IF('🧾 Tributos Aduana'!$F$6=0,0,'🧾 Tributos Aduana'!$F$19*('🧾 Factura Comercial'!H63/'🧾 Tributos Aduana'!$F$6))</f>
        <v>0</v>
      </c>
      <c r="N61" s="283">
        <f>TABLA_BASE[[#This Row],[IGV UNIT.
(US$)
✅CF]]*TABLA_BASE[[#This Row],[CANTIDAD
(unid.)]]</f>
        <v>0</v>
      </c>
      <c r="O61" s="283">
        <f>IF('🧾 Tributos Aduana'!$F$6=0,0,'🧾 Tributos Aduana'!$F$23*('🧾 Factura Comercial'!H63/'🧾 Tributos Aduana'!$F$6))</f>
        <v>0</v>
      </c>
      <c r="P61" s="283">
        <f>TABLA_BASE[[#This Row],[PERCEP.
UNIT.(US$)
✅CF]]*TABLA_BASE[[#This Row],[CANTIDAD
(unid.)]]</f>
        <v>0</v>
      </c>
      <c r="Q61" s="282">
        <f>TABLA_BASE[[#This Row],[ADV UNIT.
(US$)
⚠️COSTO]]+TABLA_BASE[[#This Row],[IPM UNIT.
(US$)
✅CF]]+TABLA_BASE[[#This Row],[IGV UNIT.
(US$)
✅CF]]</f>
        <v>0</v>
      </c>
      <c r="R61" s="283">
        <f>TABLA_BASE[[#This Row],[DEUDA
ADUANERA
UNIT.]]*TABLA_BASE[[#This Row],[CANTIDAD
(unid.)]]</f>
        <v>0</v>
      </c>
      <c r="S61" s="284">
        <f>TABLA_BASE[[#This Row],[ADV UNIT.
(US$)
⚠️COSTO]]*'📋 Datos Generales'!$E$19</f>
        <v>0</v>
      </c>
      <c r="T61" s="284">
        <f>TABLA_BASE[[#This Row],[ADV UNIT.
(S/.)]]*TABLA_BASE[[#This Row],[CANTIDAD
(unid.)]]</f>
        <v>0</v>
      </c>
      <c r="U61" s="284">
        <f>TABLA_BASE[[#This Row],[IPM UNIT.
(US$)
✅CF]]*'📋 Datos Generales'!$E$19</f>
        <v>0</v>
      </c>
      <c r="V61" s="284">
        <f>TABLA_BASE[[#This Row],[IPM UNIT.
(S/.)]]*TABLA_BASE[[#This Row],[CANTIDAD
(unid.)]]</f>
        <v>0</v>
      </c>
      <c r="W61" s="284">
        <f>TABLA_BASE[[#This Row],[IGV UNIT.
(US$)
✅CF]]*'📋 Datos Generales'!$E$19</f>
        <v>0</v>
      </c>
      <c r="X61" s="284">
        <f>TABLA_BASE[[#This Row],[IGV UNIT.
(S/.)]]*TABLA_BASE[[#This Row],[CANTIDAD
(unid.)]]</f>
        <v>0</v>
      </c>
      <c r="Y61" s="284">
        <f>TABLA_BASE[[#This Row],[PERCEP.
UNIT.(US$)
✅CF]]*'📋 Datos Generales'!$E$19</f>
        <v>0</v>
      </c>
      <c r="Z61" s="284">
        <f>TABLA_BASE[[#This Row],[PERCEP.
UNIT.(S/.)]]*TABLA_BASE[[#This Row],[CANTIDAD
(unid.)]]</f>
        <v>0</v>
      </c>
      <c r="AA61" s="282">
        <f>TABLA_BASE[[#This Row],[ADV UNIT.
(US$)
⚠️COSTO]]+TABLA_BASE[[#This Row],[IPM UNIT.
(US$)
✅CF]]+TABLA_BASE[[#This Row],[IGV UNIT.
(US$)
✅CF]]+TABLA_BASE[[#This Row],[PERCEP.
UNIT.(US$)
✅CF]]</f>
        <v>0</v>
      </c>
      <c r="AB61" s="282">
        <f>TABLA_BASE[[#This Row],[TOTAL PAGO
SUNAT
UNIT.(US$)]]*TABLA_BASE[[#This Row],[CANTIDAD
(unid.)]]</f>
        <v>0</v>
      </c>
      <c r="AC61" s="284">
        <f>TABLA_BASE[[#This Row],[TOTAL PAGO
SUNAT
UNIT.(US$)]]*'📋 Datos Generales'!$E$19</f>
        <v>0</v>
      </c>
      <c r="AD61" s="284">
        <f>TABLA_BASE[[#This Row],[TOTAL TRIB.
UNIT.(S/.)]]*TABLA_BASE[[#This Row],[CANTIDAD
(unid.)]]</f>
        <v>0</v>
      </c>
      <c r="AE61" s="282">
        <f>IF('🧾 Factura Comercial'!G63=0,0,'📦 Gastos Importación'!$E$28*(IF('🧾 Tributos Aduana'!$F$6=0,0,'🧾 Factura Comercial'!I63/'🧾 Tributos Aduana'!$F$6))/'🧾 Factura Comercial'!G63)</f>
        <v>0</v>
      </c>
      <c r="AF61" s="282">
        <f>TABLA_BASE[[#This Row],[GASTOS IMP.
UNIT.(US$)]]*TABLA_BASE[[#This Row],[CANTIDAD
(unid.)]]</f>
        <v>0</v>
      </c>
      <c r="AG61" s="284">
        <f>TABLA_BASE[[#This Row],[GASTOS IMP.
UNIT.(US$)]]*'📋 Datos Generales'!$E$19</f>
        <v>0</v>
      </c>
      <c r="AH61" s="284">
        <f>TABLA_BASE[[#This Row],[GASTOS IMP.
UNIT.(S/.)]]*TABLA_BASE[[#This Row],[CANTIDAD
(unid.)]]</f>
        <v>0</v>
      </c>
      <c r="AI61" s="283">
        <f>'🧮 Costos x Producto'!J65</f>
        <v>0</v>
      </c>
      <c r="AJ61" s="282">
        <f>'🧮 Costos x Producto'!K65</f>
        <v>0</v>
      </c>
      <c r="AK61" s="282">
        <f>IF('🧾 Factura Comercial'!G63=0,0,'🧾 Tributos Aduana'!$F$17*(IF('🧾 Tributos Aduana'!$F$6=0,0,'🧾 Factura Comercial'!I63/'🧾 Tributos Aduana'!$F$6))/'🧾 Factura Comercial'!G63)</f>
        <v>0</v>
      </c>
      <c r="AL61" s="282">
        <f>IF('🧾 Factura Comercial'!G63=0,0,'🏦 Crédito Fiscal'!$C$16*(IF('🧾 Tributos Aduana'!$F$6=0,0,'🧾 Factura Comercial'!I63/'🧾 Tributos Aduana'!$F$6))/'🧾 Factura Comercial'!G63)</f>
        <v>0</v>
      </c>
      <c r="AM61" s="284">
        <f>TABLA_BASE[[#This Row],[CF UNIT.
✅RECUP.
(US$)]]*'📋 Datos Generales'!$E$19</f>
        <v>0</v>
      </c>
      <c r="AN61" s="281">
        <f>TABLA_BASE[[#This Row],[CF UNIT.
✅RECUP.(S/.)]]*TABLA_BASE[[#This Row],[CANTIDAD
(unid.)]]</f>
        <v>0</v>
      </c>
      <c r="AO61" s="298">
        <f>'💰 Precio de Venta'!G66</f>
        <v>0</v>
      </c>
      <c r="AP61" s="284">
        <f>'💰 Precio de Venta'!H66</f>
        <v>0</v>
      </c>
      <c r="AQ61" s="284">
        <f>'💰 Precio de Venta'!I66</f>
        <v>0</v>
      </c>
      <c r="AR61" s="281">
        <f>'💰 Precio de Venta'!J66</f>
        <v>0</v>
      </c>
      <c r="AS61" s="300">
        <f>'💰 Precio de Venta'!K66</f>
        <v>0</v>
      </c>
      <c r="AT61" s="281">
        <f>TABLA_BASE[[#This Row],[GANANCIA
UNIT.(S/.)]]*'🧾 Factura Comercial'!G63</f>
        <v>0</v>
      </c>
      <c r="AU61" s="280">
        <f>IF(TABLA_BASE[[#This Row],[PRECIO VTA.
c/IGV(S/.)]]=0,0,TABLA_BASE[[#This Row],[GANANCIA
UNIT.(S/.)]]/TABLA_BASE[[#This Row],[PRECIO VTA.
c/IGV(S/.)]])</f>
        <v>0</v>
      </c>
      <c r="AV61" s="280">
        <f>IF(TABLA_BASE[[#This Row],[C/M UNIT.
(S/.)]]=0,0,TABLA_BASE[[#This Row],[GANANCIA
UNIT.(S/.)]]/TABLA_BASE[[#This Row],[C/M UNIT.
(S/.)]])</f>
        <v>0</v>
      </c>
      <c r="AW61" s="277" t="str">
        <f>IF(TABLA_BASE[[#This Row],[MARGEN
%]]&gt;=0.5,"🟢 ALTO",IF(TABLA_BASE[[#This Row],[MARGEN
%]]&gt;=0.3,"🟡 MEDIO","🔴 BAJO"))</f>
        <v>🔴 BAJO</v>
      </c>
    </row>
    <row r="62" spans="1:49" ht="16.5" hidden="1" thickTop="1" thickBot="1" x14ac:dyDescent="0.3">
      <c r="A62" s="277">
        <f>'🧾 Factura Comercial'!E64</f>
        <v>0</v>
      </c>
      <c r="B62" s="277">
        <f>'🧾 Factura Comercial'!F64</f>
        <v>0</v>
      </c>
      <c r="C62" s="278">
        <f>'🧾 Factura Comercial'!G64</f>
        <v>0</v>
      </c>
      <c r="D62" s="279">
        <f>'🧾 Factura Comercial'!H64</f>
        <v>0</v>
      </c>
      <c r="E62" s="279">
        <f>'🧾 Factura Comercial'!I64</f>
        <v>0</v>
      </c>
      <c r="F62" s="280">
        <f>IF('🧾 Tributos Aduana'!$F$6=0,0,'🧾 Factura Comercial'!I64/'🧾 Tributos Aduana'!$F$6)</f>
        <v>0</v>
      </c>
      <c r="G62" s="281">
        <f>'🧾 Factura Comercial'!H64*'📋 Datos Generales'!$E$19</f>
        <v>0</v>
      </c>
      <c r="H62" s="281">
        <f>TABLA_BASE[[#This Row],[FOB UNIT.
(S/.)]]*TABLA_BASE[[#This Row],[CANTIDAD
(unid.)]]</f>
        <v>0</v>
      </c>
      <c r="I62" s="283">
        <f>IF('🧾 Tributos Aduana'!$F$6=0,0,'🧾 Tributos Aduana'!$F$17*('🧾 Factura Comercial'!H64/'🧾 Tributos Aduana'!$F$6))</f>
        <v>0</v>
      </c>
      <c r="J62" s="283">
        <f>TABLA_BASE[[#This Row],[ADV UNIT.
(US$)
⚠️COSTO]]*TABLA_BASE[[#This Row],[CANTIDAD
(unid.)]]</f>
        <v>0</v>
      </c>
      <c r="K62" s="282">
        <f>IF('🧾 Tributos Aduana'!$F$6=0,0,'🧾 Tributos Aduana'!$F$18*('🧾 Factura Comercial'!H64/'🧾 Tributos Aduana'!$F$6))</f>
        <v>0</v>
      </c>
      <c r="L62" s="283">
        <f>TABLA_BASE[[#This Row],[IPM UNIT.
(US$)
✅CF]]*TABLA_BASE[[#This Row],[CANTIDAD
(unid.)]]</f>
        <v>0</v>
      </c>
      <c r="M62" s="282">
        <f>IF('🧾 Tributos Aduana'!$F$6=0,0,'🧾 Tributos Aduana'!$F$19*('🧾 Factura Comercial'!H64/'🧾 Tributos Aduana'!$F$6))</f>
        <v>0</v>
      </c>
      <c r="N62" s="283">
        <f>TABLA_BASE[[#This Row],[IGV UNIT.
(US$)
✅CF]]*TABLA_BASE[[#This Row],[CANTIDAD
(unid.)]]</f>
        <v>0</v>
      </c>
      <c r="O62" s="283">
        <f>IF('🧾 Tributos Aduana'!$F$6=0,0,'🧾 Tributos Aduana'!$F$23*('🧾 Factura Comercial'!H64/'🧾 Tributos Aduana'!$F$6))</f>
        <v>0</v>
      </c>
      <c r="P62" s="283">
        <f>TABLA_BASE[[#This Row],[PERCEP.
UNIT.(US$)
✅CF]]*TABLA_BASE[[#This Row],[CANTIDAD
(unid.)]]</f>
        <v>0</v>
      </c>
      <c r="Q62" s="282">
        <f>TABLA_BASE[[#This Row],[ADV UNIT.
(US$)
⚠️COSTO]]+TABLA_BASE[[#This Row],[IPM UNIT.
(US$)
✅CF]]+TABLA_BASE[[#This Row],[IGV UNIT.
(US$)
✅CF]]</f>
        <v>0</v>
      </c>
      <c r="R62" s="283">
        <f>TABLA_BASE[[#This Row],[DEUDA
ADUANERA
UNIT.]]*TABLA_BASE[[#This Row],[CANTIDAD
(unid.)]]</f>
        <v>0</v>
      </c>
      <c r="S62" s="284">
        <f>TABLA_BASE[[#This Row],[ADV UNIT.
(US$)
⚠️COSTO]]*'📋 Datos Generales'!$E$19</f>
        <v>0</v>
      </c>
      <c r="T62" s="284">
        <f>TABLA_BASE[[#This Row],[ADV UNIT.
(S/.)]]*TABLA_BASE[[#This Row],[CANTIDAD
(unid.)]]</f>
        <v>0</v>
      </c>
      <c r="U62" s="284">
        <f>TABLA_BASE[[#This Row],[IPM UNIT.
(US$)
✅CF]]*'📋 Datos Generales'!$E$19</f>
        <v>0</v>
      </c>
      <c r="V62" s="284">
        <f>TABLA_BASE[[#This Row],[IPM UNIT.
(S/.)]]*TABLA_BASE[[#This Row],[CANTIDAD
(unid.)]]</f>
        <v>0</v>
      </c>
      <c r="W62" s="284">
        <f>TABLA_BASE[[#This Row],[IGV UNIT.
(US$)
✅CF]]*'📋 Datos Generales'!$E$19</f>
        <v>0</v>
      </c>
      <c r="X62" s="284">
        <f>TABLA_BASE[[#This Row],[IGV UNIT.
(S/.)]]*TABLA_BASE[[#This Row],[CANTIDAD
(unid.)]]</f>
        <v>0</v>
      </c>
      <c r="Y62" s="284">
        <f>TABLA_BASE[[#This Row],[PERCEP.
UNIT.(US$)
✅CF]]*'📋 Datos Generales'!$E$19</f>
        <v>0</v>
      </c>
      <c r="Z62" s="284">
        <f>TABLA_BASE[[#This Row],[PERCEP.
UNIT.(S/.)]]*TABLA_BASE[[#This Row],[CANTIDAD
(unid.)]]</f>
        <v>0</v>
      </c>
      <c r="AA62" s="282">
        <f>TABLA_BASE[[#This Row],[ADV UNIT.
(US$)
⚠️COSTO]]+TABLA_BASE[[#This Row],[IPM UNIT.
(US$)
✅CF]]+TABLA_BASE[[#This Row],[IGV UNIT.
(US$)
✅CF]]+TABLA_BASE[[#This Row],[PERCEP.
UNIT.(US$)
✅CF]]</f>
        <v>0</v>
      </c>
      <c r="AB62" s="282">
        <f>TABLA_BASE[[#This Row],[TOTAL PAGO
SUNAT
UNIT.(US$)]]*TABLA_BASE[[#This Row],[CANTIDAD
(unid.)]]</f>
        <v>0</v>
      </c>
      <c r="AC62" s="284">
        <f>TABLA_BASE[[#This Row],[TOTAL PAGO
SUNAT
UNIT.(US$)]]*'📋 Datos Generales'!$E$19</f>
        <v>0</v>
      </c>
      <c r="AD62" s="284">
        <f>TABLA_BASE[[#This Row],[TOTAL TRIB.
UNIT.(S/.)]]*TABLA_BASE[[#This Row],[CANTIDAD
(unid.)]]</f>
        <v>0</v>
      </c>
      <c r="AE62" s="282">
        <f>IF('🧾 Factura Comercial'!G64=0,0,'📦 Gastos Importación'!$E$28*(IF('🧾 Tributos Aduana'!$F$6=0,0,'🧾 Factura Comercial'!I64/'🧾 Tributos Aduana'!$F$6))/'🧾 Factura Comercial'!G64)</f>
        <v>0</v>
      </c>
      <c r="AF62" s="282">
        <f>TABLA_BASE[[#This Row],[GASTOS IMP.
UNIT.(US$)]]*TABLA_BASE[[#This Row],[CANTIDAD
(unid.)]]</f>
        <v>0</v>
      </c>
      <c r="AG62" s="284">
        <f>TABLA_BASE[[#This Row],[GASTOS IMP.
UNIT.(US$)]]*'📋 Datos Generales'!$E$19</f>
        <v>0</v>
      </c>
      <c r="AH62" s="284">
        <f>TABLA_BASE[[#This Row],[GASTOS IMP.
UNIT.(S/.)]]*TABLA_BASE[[#This Row],[CANTIDAD
(unid.)]]</f>
        <v>0</v>
      </c>
      <c r="AI62" s="283">
        <f>'🧮 Costos x Producto'!J66</f>
        <v>0</v>
      </c>
      <c r="AJ62" s="282">
        <f>'🧮 Costos x Producto'!K66</f>
        <v>0</v>
      </c>
      <c r="AK62" s="282">
        <f>IF('🧾 Factura Comercial'!G64=0,0,'🧾 Tributos Aduana'!$F$17*(IF('🧾 Tributos Aduana'!$F$6=0,0,'🧾 Factura Comercial'!I64/'🧾 Tributos Aduana'!$F$6))/'🧾 Factura Comercial'!G64)</f>
        <v>0</v>
      </c>
      <c r="AL62" s="282">
        <f>IF('🧾 Factura Comercial'!G64=0,0,'🏦 Crédito Fiscal'!$C$16*(IF('🧾 Tributos Aduana'!$F$6=0,0,'🧾 Factura Comercial'!I64/'🧾 Tributos Aduana'!$F$6))/'🧾 Factura Comercial'!G64)</f>
        <v>0</v>
      </c>
      <c r="AM62" s="284">
        <f>TABLA_BASE[[#This Row],[CF UNIT.
✅RECUP.
(US$)]]*'📋 Datos Generales'!$E$19</f>
        <v>0</v>
      </c>
      <c r="AN62" s="281">
        <f>TABLA_BASE[[#This Row],[CF UNIT.
✅RECUP.(S/.)]]*TABLA_BASE[[#This Row],[CANTIDAD
(unid.)]]</f>
        <v>0</v>
      </c>
      <c r="AO62" s="298">
        <f>'💰 Precio de Venta'!G67</f>
        <v>0</v>
      </c>
      <c r="AP62" s="284">
        <f>'💰 Precio de Venta'!H67</f>
        <v>0</v>
      </c>
      <c r="AQ62" s="284">
        <f>'💰 Precio de Venta'!I67</f>
        <v>0</v>
      </c>
      <c r="AR62" s="281">
        <f>'💰 Precio de Venta'!J67</f>
        <v>0</v>
      </c>
      <c r="AS62" s="300">
        <f>'💰 Precio de Venta'!K67</f>
        <v>0</v>
      </c>
      <c r="AT62" s="281">
        <f>TABLA_BASE[[#This Row],[GANANCIA
UNIT.(S/.)]]*'🧾 Factura Comercial'!G64</f>
        <v>0</v>
      </c>
      <c r="AU62" s="280">
        <f>IF(TABLA_BASE[[#This Row],[PRECIO VTA.
c/IGV(S/.)]]=0,0,TABLA_BASE[[#This Row],[GANANCIA
UNIT.(S/.)]]/TABLA_BASE[[#This Row],[PRECIO VTA.
c/IGV(S/.)]])</f>
        <v>0</v>
      </c>
      <c r="AV62" s="280">
        <f>IF(TABLA_BASE[[#This Row],[C/M UNIT.
(S/.)]]=0,0,TABLA_BASE[[#This Row],[GANANCIA
UNIT.(S/.)]]/TABLA_BASE[[#This Row],[C/M UNIT.
(S/.)]])</f>
        <v>0</v>
      </c>
      <c r="AW62" s="277" t="str">
        <f>IF(TABLA_BASE[[#This Row],[MARGEN
%]]&gt;=0.5,"🟢 ALTO",IF(TABLA_BASE[[#This Row],[MARGEN
%]]&gt;=0.3,"🟡 MEDIO","🔴 BAJO"))</f>
        <v>🔴 BAJO</v>
      </c>
    </row>
    <row r="63" spans="1:49" ht="16.5" hidden="1" thickTop="1" thickBot="1" x14ac:dyDescent="0.3">
      <c r="A63" s="277">
        <f>'🧾 Factura Comercial'!E65</f>
        <v>0</v>
      </c>
      <c r="B63" s="277">
        <f>'🧾 Factura Comercial'!F65</f>
        <v>0</v>
      </c>
      <c r="C63" s="278">
        <f>'🧾 Factura Comercial'!G65</f>
        <v>0</v>
      </c>
      <c r="D63" s="279">
        <f>'🧾 Factura Comercial'!H65</f>
        <v>0</v>
      </c>
      <c r="E63" s="279">
        <f>'🧾 Factura Comercial'!I65</f>
        <v>0</v>
      </c>
      <c r="F63" s="280">
        <f>IF('🧾 Tributos Aduana'!$F$6=0,0,'🧾 Factura Comercial'!I65/'🧾 Tributos Aduana'!$F$6)</f>
        <v>0</v>
      </c>
      <c r="G63" s="281">
        <f>'🧾 Factura Comercial'!H65*'📋 Datos Generales'!$E$19</f>
        <v>0</v>
      </c>
      <c r="H63" s="281">
        <f>TABLA_BASE[[#This Row],[FOB UNIT.
(S/.)]]*TABLA_BASE[[#This Row],[CANTIDAD
(unid.)]]</f>
        <v>0</v>
      </c>
      <c r="I63" s="283">
        <f>IF('🧾 Tributos Aduana'!$F$6=0,0,'🧾 Tributos Aduana'!$F$17*('🧾 Factura Comercial'!H65/'🧾 Tributos Aduana'!$F$6))</f>
        <v>0</v>
      </c>
      <c r="J63" s="283">
        <f>TABLA_BASE[[#This Row],[ADV UNIT.
(US$)
⚠️COSTO]]*TABLA_BASE[[#This Row],[CANTIDAD
(unid.)]]</f>
        <v>0</v>
      </c>
      <c r="K63" s="282">
        <f>IF('🧾 Tributos Aduana'!$F$6=0,0,'🧾 Tributos Aduana'!$F$18*('🧾 Factura Comercial'!H65/'🧾 Tributos Aduana'!$F$6))</f>
        <v>0</v>
      </c>
      <c r="L63" s="283">
        <f>TABLA_BASE[[#This Row],[IPM UNIT.
(US$)
✅CF]]*TABLA_BASE[[#This Row],[CANTIDAD
(unid.)]]</f>
        <v>0</v>
      </c>
      <c r="M63" s="282">
        <f>IF('🧾 Tributos Aduana'!$F$6=0,0,'🧾 Tributos Aduana'!$F$19*('🧾 Factura Comercial'!H65/'🧾 Tributos Aduana'!$F$6))</f>
        <v>0</v>
      </c>
      <c r="N63" s="283">
        <f>TABLA_BASE[[#This Row],[IGV UNIT.
(US$)
✅CF]]*TABLA_BASE[[#This Row],[CANTIDAD
(unid.)]]</f>
        <v>0</v>
      </c>
      <c r="O63" s="283">
        <f>IF('🧾 Tributos Aduana'!$F$6=0,0,'🧾 Tributos Aduana'!$F$23*('🧾 Factura Comercial'!H65/'🧾 Tributos Aduana'!$F$6))</f>
        <v>0</v>
      </c>
      <c r="P63" s="283">
        <f>TABLA_BASE[[#This Row],[PERCEP.
UNIT.(US$)
✅CF]]*TABLA_BASE[[#This Row],[CANTIDAD
(unid.)]]</f>
        <v>0</v>
      </c>
      <c r="Q63" s="282">
        <f>TABLA_BASE[[#This Row],[ADV UNIT.
(US$)
⚠️COSTO]]+TABLA_BASE[[#This Row],[IPM UNIT.
(US$)
✅CF]]+TABLA_BASE[[#This Row],[IGV UNIT.
(US$)
✅CF]]</f>
        <v>0</v>
      </c>
      <c r="R63" s="283">
        <f>TABLA_BASE[[#This Row],[DEUDA
ADUANERA
UNIT.]]*TABLA_BASE[[#This Row],[CANTIDAD
(unid.)]]</f>
        <v>0</v>
      </c>
      <c r="S63" s="284">
        <f>TABLA_BASE[[#This Row],[ADV UNIT.
(US$)
⚠️COSTO]]*'📋 Datos Generales'!$E$19</f>
        <v>0</v>
      </c>
      <c r="T63" s="284">
        <f>TABLA_BASE[[#This Row],[ADV UNIT.
(S/.)]]*TABLA_BASE[[#This Row],[CANTIDAD
(unid.)]]</f>
        <v>0</v>
      </c>
      <c r="U63" s="284">
        <f>TABLA_BASE[[#This Row],[IPM UNIT.
(US$)
✅CF]]*'📋 Datos Generales'!$E$19</f>
        <v>0</v>
      </c>
      <c r="V63" s="284">
        <f>TABLA_BASE[[#This Row],[IPM UNIT.
(S/.)]]*TABLA_BASE[[#This Row],[CANTIDAD
(unid.)]]</f>
        <v>0</v>
      </c>
      <c r="W63" s="284">
        <f>TABLA_BASE[[#This Row],[IGV UNIT.
(US$)
✅CF]]*'📋 Datos Generales'!$E$19</f>
        <v>0</v>
      </c>
      <c r="X63" s="284">
        <f>TABLA_BASE[[#This Row],[IGV UNIT.
(S/.)]]*TABLA_BASE[[#This Row],[CANTIDAD
(unid.)]]</f>
        <v>0</v>
      </c>
      <c r="Y63" s="284">
        <f>TABLA_BASE[[#This Row],[PERCEP.
UNIT.(US$)
✅CF]]*'📋 Datos Generales'!$E$19</f>
        <v>0</v>
      </c>
      <c r="Z63" s="284">
        <f>TABLA_BASE[[#This Row],[PERCEP.
UNIT.(S/.)]]*TABLA_BASE[[#This Row],[CANTIDAD
(unid.)]]</f>
        <v>0</v>
      </c>
      <c r="AA63" s="282">
        <f>TABLA_BASE[[#This Row],[ADV UNIT.
(US$)
⚠️COSTO]]+TABLA_BASE[[#This Row],[IPM UNIT.
(US$)
✅CF]]+TABLA_BASE[[#This Row],[IGV UNIT.
(US$)
✅CF]]+TABLA_BASE[[#This Row],[PERCEP.
UNIT.(US$)
✅CF]]</f>
        <v>0</v>
      </c>
      <c r="AB63" s="282">
        <f>TABLA_BASE[[#This Row],[TOTAL PAGO
SUNAT
UNIT.(US$)]]*TABLA_BASE[[#This Row],[CANTIDAD
(unid.)]]</f>
        <v>0</v>
      </c>
      <c r="AC63" s="284">
        <f>TABLA_BASE[[#This Row],[TOTAL PAGO
SUNAT
UNIT.(US$)]]*'📋 Datos Generales'!$E$19</f>
        <v>0</v>
      </c>
      <c r="AD63" s="284">
        <f>TABLA_BASE[[#This Row],[TOTAL TRIB.
UNIT.(S/.)]]*TABLA_BASE[[#This Row],[CANTIDAD
(unid.)]]</f>
        <v>0</v>
      </c>
      <c r="AE63" s="282">
        <f>IF('🧾 Factura Comercial'!G65=0,0,'📦 Gastos Importación'!$E$28*(IF('🧾 Tributos Aduana'!$F$6=0,0,'🧾 Factura Comercial'!I65/'🧾 Tributos Aduana'!$F$6))/'🧾 Factura Comercial'!G65)</f>
        <v>0</v>
      </c>
      <c r="AF63" s="282">
        <f>TABLA_BASE[[#This Row],[GASTOS IMP.
UNIT.(US$)]]*TABLA_BASE[[#This Row],[CANTIDAD
(unid.)]]</f>
        <v>0</v>
      </c>
      <c r="AG63" s="284">
        <f>TABLA_BASE[[#This Row],[GASTOS IMP.
UNIT.(US$)]]*'📋 Datos Generales'!$E$19</f>
        <v>0</v>
      </c>
      <c r="AH63" s="284">
        <f>TABLA_BASE[[#This Row],[GASTOS IMP.
UNIT.(S/.)]]*TABLA_BASE[[#This Row],[CANTIDAD
(unid.)]]</f>
        <v>0</v>
      </c>
      <c r="AI63" s="283">
        <f>'🧮 Costos x Producto'!J67</f>
        <v>0</v>
      </c>
      <c r="AJ63" s="282">
        <f>'🧮 Costos x Producto'!K67</f>
        <v>0</v>
      </c>
      <c r="AK63" s="282">
        <f>IF('🧾 Factura Comercial'!G65=0,0,'🧾 Tributos Aduana'!$F$17*(IF('🧾 Tributos Aduana'!$F$6=0,0,'🧾 Factura Comercial'!I65/'🧾 Tributos Aduana'!$F$6))/'🧾 Factura Comercial'!G65)</f>
        <v>0</v>
      </c>
      <c r="AL63" s="282">
        <f>IF('🧾 Factura Comercial'!G65=0,0,'🏦 Crédito Fiscal'!$C$16*(IF('🧾 Tributos Aduana'!$F$6=0,0,'🧾 Factura Comercial'!I65/'🧾 Tributos Aduana'!$F$6))/'🧾 Factura Comercial'!G65)</f>
        <v>0</v>
      </c>
      <c r="AM63" s="284">
        <f>TABLA_BASE[[#This Row],[CF UNIT.
✅RECUP.
(US$)]]*'📋 Datos Generales'!$E$19</f>
        <v>0</v>
      </c>
      <c r="AN63" s="281">
        <f>TABLA_BASE[[#This Row],[CF UNIT.
✅RECUP.(S/.)]]*TABLA_BASE[[#This Row],[CANTIDAD
(unid.)]]</f>
        <v>0</v>
      </c>
      <c r="AO63" s="298">
        <f>'💰 Precio de Venta'!G68</f>
        <v>0</v>
      </c>
      <c r="AP63" s="284">
        <f>'💰 Precio de Venta'!H68</f>
        <v>0</v>
      </c>
      <c r="AQ63" s="284">
        <f>'💰 Precio de Venta'!I68</f>
        <v>0</v>
      </c>
      <c r="AR63" s="281">
        <f>'💰 Precio de Venta'!J68</f>
        <v>0</v>
      </c>
      <c r="AS63" s="300">
        <f>'💰 Precio de Venta'!K68</f>
        <v>0</v>
      </c>
      <c r="AT63" s="281">
        <f>TABLA_BASE[[#This Row],[GANANCIA
UNIT.(S/.)]]*'🧾 Factura Comercial'!G65</f>
        <v>0</v>
      </c>
      <c r="AU63" s="280">
        <f>IF(TABLA_BASE[[#This Row],[PRECIO VTA.
c/IGV(S/.)]]=0,0,TABLA_BASE[[#This Row],[GANANCIA
UNIT.(S/.)]]/TABLA_BASE[[#This Row],[PRECIO VTA.
c/IGV(S/.)]])</f>
        <v>0</v>
      </c>
      <c r="AV63" s="280">
        <f>IF(TABLA_BASE[[#This Row],[C/M UNIT.
(S/.)]]=0,0,TABLA_BASE[[#This Row],[GANANCIA
UNIT.(S/.)]]/TABLA_BASE[[#This Row],[C/M UNIT.
(S/.)]])</f>
        <v>0</v>
      </c>
      <c r="AW63" s="277" t="str">
        <f>IF(TABLA_BASE[[#This Row],[MARGEN
%]]&gt;=0.5,"🟢 ALTO",IF(TABLA_BASE[[#This Row],[MARGEN
%]]&gt;=0.3,"🟡 MEDIO","🔴 BAJO"))</f>
        <v>🔴 BAJO</v>
      </c>
    </row>
    <row r="64" spans="1:49" ht="16.5" hidden="1" thickTop="1" thickBot="1" x14ac:dyDescent="0.3">
      <c r="A64" s="277">
        <f>'🧾 Factura Comercial'!E66</f>
        <v>0</v>
      </c>
      <c r="B64" s="277">
        <f>'🧾 Factura Comercial'!F66</f>
        <v>0</v>
      </c>
      <c r="C64" s="278">
        <f>'🧾 Factura Comercial'!G66</f>
        <v>0</v>
      </c>
      <c r="D64" s="279">
        <f>'🧾 Factura Comercial'!H66</f>
        <v>0</v>
      </c>
      <c r="E64" s="279">
        <f>'🧾 Factura Comercial'!I66</f>
        <v>0</v>
      </c>
      <c r="F64" s="280">
        <f>IF('🧾 Tributos Aduana'!$F$6=0,0,'🧾 Factura Comercial'!I66/'🧾 Tributos Aduana'!$F$6)</f>
        <v>0</v>
      </c>
      <c r="G64" s="281">
        <f>'🧾 Factura Comercial'!H66*'📋 Datos Generales'!$E$19</f>
        <v>0</v>
      </c>
      <c r="H64" s="281">
        <f>TABLA_BASE[[#This Row],[FOB UNIT.
(S/.)]]*TABLA_BASE[[#This Row],[CANTIDAD
(unid.)]]</f>
        <v>0</v>
      </c>
      <c r="I64" s="283">
        <f>IF('🧾 Tributos Aduana'!$F$6=0,0,'🧾 Tributos Aduana'!$F$17*('🧾 Factura Comercial'!H66/'🧾 Tributos Aduana'!$F$6))</f>
        <v>0</v>
      </c>
      <c r="J64" s="283">
        <f>TABLA_BASE[[#This Row],[ADV UNIT.
(US$)
⚠️COSTO]]*TABLA_BASE[[#This Row],[CANTIDAD
(unid.)]]</f>
        <v>0</v>
      </c>
      <c r="K64" s="282">
        <f>IF('🧾 Tributos Aduana'!$F$6=0,0,'🧾 Tributos Aduana'!$F$18*('🧾 Factura Comercial'!H66/'🧾 Tributos Aduana'!$F$6))</f>
        <v>0</v>
      </c>
      <c r="L64" s="283">
        <f>TABLA_BASE[[#This Row],[IPM UNIT.
(US$)
✅CF]]*TABLA_BASE[[#This Row],[CANTIDAD
(unid.)]]</f>
        <v>0</v>
      </c>
      <c r="M64" s="282">
        <f>IF('🧾 Tributos Aduana'!$F$6=0,0,'🧾 Tributos Aduana'!$F$19*('🧾 Factura Comercial'!H66/'🧾 Tributos Aduana'!$F$6))</f>
        <v>0</v>
      </c>
      <c r="N64" s="283">
        <f>TABLA_BASE[[#This Row],[IGV UNIT.
(US$)
✅CF]]*TABLA_BASE[[#This Row],[CANTIDAD
(unid.)]]</f>
        <v>0</v>
      </c>
      <c r="O64" s="283">
        <f>IF('🧾 Tributos Aduana'!$F$6=0,0,'🧾 Tributos Aduana'!$F$23*('🧾 Factura Comercial'!H66/'🧾 Tributos Aduana'!$F$6))</f>
        <v>0</v>
      </c>
      <c r="P64" s="283">
        <f>TABLA_BASE[[#This Row],[PERCEP.
UNIT.(US$)
✅CF]]*TABLA_BASE[[#This Row],[CANTIDAD
(unid.)]]</f>
        <v>0</v>
      </c>
      <c r="Q64" s="282">
        <f>TABLA_BASE[[#This Row],[ADV UNIT.
(US$)
⚠️COSTO]]+TABLA_BASE[[#This Row],[IPM UNIT.
(US$)
✅CF]]+TABLA_BASE[[#This Row],[IGV UNIT.
(US$)
✅CF]]</f>
        <v>0</v>
      </c>
      <c r="R64" s="283">
        <f>TABLA_BASE[[#This Row],[DEUDA
ADUANERA
UNIT.]]*TABLA_BASE[[#This Row],[CANTIDAD
(unid.)]]</f>
        <v>0</v>
      </c>
      <c r="S64" s="284">
        <f>TABLA_BASE[[#This Row],[ADV UNIT.
(US$)
⚠️COSTO]]*'📋 Datos Generales'!$E$19</f>
        <v>0</v>
      </c>
      <c r="T64" s="284">
        <f>TABLA_BASE[[#This Row],[ADV UNIT.
(S/.)]]*TABLA_BASE[[#This Row],[CANTIDAD
(unid.)]]</f>
        <v>0</v>
      </c>
      <c r="U64" s="284">
        <f>TABLA_BASE[[#This Row],[IPM UNIT.
(US$)
✅CF]]*'📋 Datos Generales'!$E$19</f>
        <v>0</v>
      </c>
      <c r="V64" s="284">
        <f>TABLA_BASE[[#This Row],[IPM UNIT.
(S/.)]]*TABLA_BASE[[#This Row],[CANTIDAD
(unid.)]]</f>
        <v>0</v>
      </c>
      <c r="W64" s="284">
        <f>TABLA_BASE[[#This Row],[IGV UNIT.
(US$)
✅CF]]*'📋 Datos Generales'!$E$19</f>
        <v>0</v>
      </c>
      <c r="X64" s="284">
        <f>TABLA_BASE[[#This Row],[IGV UNIT.
(S/.)]]*TABLA_BASE[[#This Row],[CANTIDAD
(unid.)]]</f>
        <v>0</v>
      </c>
      <c r="Y64" s="284">
        <f>TABLA_BASE[[#This Row],[PERCEP.
UNIT.(US$)
✅CF]]*'📋 Datos Generales'!$E$19</f>
        <v>0</v>
      </c>
      <c r="Z64" s="284">
        <f>TABLA_BASE[[#This Row],[PERCEP.
UNIT.(S/.)]]*TABLA_BASE[[#This Row],[CANTIDAD
(unid.)]]</f>
        <v>0</v>
      </c>
      <c r="AA64" s="282">
        <f>TABLA_BASE[[#This Row],[ADV UNIT.
(US$)
⚠️COSTO]]+TABLA_BASE[[#This Row],[IPM UNIT.
(US$)
✅CF]]+TABLA_BASE[[#This Row],[IGV UNIT.
(US$)
✅CF]]+TABLA_BASE[[#This Row],[PERCEP.
UNIT.(US$)
✅CF]]</f>
        <v>0</v>
      </c>
      <c r="AB64" s="282">
        <f>TABLA_BASE[[#This Row],[TOTAL PAGO
SUNAT
UNIT.(US$)]]*TABLA_BASE[[#This Row],[CANTIDAD
(unid.)]]</f>
        <v>0</v>
      </c>
      <c r="AC64" s="284">
        <f>TABLA_BASE[[#This Row],[TOTAL PAGO
SUNAT
UNIT.(US$)]]*'📋 Datos Generales'!$E$19</f>
        <v>0</v>
      </c>
      <c r="AD64" s="284">
        <f>TABLA_BASE[[#This Row],[TOTAL TRIB.
UNIT.(S/.)]]*TABLA_BASE[[#This Row],[CANTIDAD
(unid.)]]</f>
        <v>0</v>
      </c>
      <c r="AE64" s="282">
        <f>IF('🧾 Factura Comercial'!G66=0,0,'📦 Gastos Importación'!$E$28*(IF('🧾 Tributos Aduana'!$F$6=0,0,'🧾 Factura Comercial'!I66/'🧾 Tributos Aduana'!$F$6))/'🧾 Factura Comercial'!G66)</f>
        <v>0</v>
      </c>
      <c r="AF64" s="282">
        <f>TABLA_BASE[[#This Row],[GASTOS IMP.
UNIT.(US$)]]*TABLA_BASE[[#This Row],[CANTIDAD
(unid.)]]</f>
        <v>0</v>
      </c>
      <c r="AG64" s="284">
        <f>TABLA_BASE[[#This Row],[GASTOS IMP.
UNIT.(US$)]]*'📋 Datos Generales'!$E$19</f>
        <v>0</v>
      </c>
      <c r="AH64" s="284">
        <f>TABLA_BASE[[#This Row],[GASTOS IMP.
UNIT.(S/.)]]*TABLA_BASE[[#This Row],[CANTIDAD
(unid.)]]</f>
        <v>0</v>
      </c>
      <c r="AI64" s="283">
        <f>'🧮 Costos x Producto'!J68</f>
        <v>0</v>
      </c>
      <c r="AJ64" s="282">
        <f>'🧮 Costos x Producto'!K68</f>
        <v>0</v>
      </c>
      <c r="AK64" s="282">
        <f>IF('🧾 Factura Comercial'!G66=0,0,'🧾 Tributos Aduana'!$F$17*(IF('🧾 Tributos Aduana'!$F$6=0,0,'🧾 Factura Comercial'!I66/'🧾 Tributos Aduana'!$F$6))/'🧾 Factura Comercial'!G66)</f>
        <v>0</v>
      </c>
      <c r="AL64" s="282">
        <f>IF('🧾 Factura Comercial'!G66=0,0,'🏦 Crédito Fiscal'!$C$16*(IF('🧾 Tributos Aduana'!$F$6=0,0,'🧾 Factura Comercial'!I66/'🧾 Tributos Aduana'!$F$6))/'🧾 Factura Comercial'!G66)</f>
        <v>0</v>
      </c>
      <c r="AM64" s="284">
        <f>TABLA_BASE[[#This Row],[CF UNIT.
✅RECUP.
(US$)]]*'📋 Datos Generales'!$E$19</f>
        <v>0</v>
      </c>
      <c r="AN64" s="281">
        <f>TABLA_BASE[[#This Row],[CF UNIT.
✅RECUP.(S/.)]]*TABLA_BASE[[#This Row],[CANTIDAD
(unid.)]]</f>
        <v>0</v>
      </c>
      <c r="AO64" s="298">
        <f>'💰 Precio de Venta'!G69</f>
        <v>0</v>
      </c>
      <c r="AP64" s="284">
        <f>'💰 Precio de Venta'!H69</f>
        <v>0</v>
      </c>
      <c r="AQ64" s="284">
        <f>'💰 Precio de Venta'!I69</f>
        <v>0</v>
      </c>
      <c r="AR64" s="281">
        <f>'💰 Precio de Venta'!J69</f>
        <v>0</v>
      </c>
      <c r="AS64" s="300">
        <f>'💰 Precio de Venta'!K69</f>
        <v>0</v>
      </c>
      <c r="AT64" s="281">
        <f>TABLA_BASE[[#This Row],[GANANCIA
UNIT.(S/.)]]*'🧾 Factura Comercial'!G66</f>
        <v>0</v>
      </c>
      <c r="AU64" s="280">
        <f>IF(TABLA_BASE[[#This Row],[PRECIO VTA.
c/IGV(S/.)]]=0,0,TABLA_BASE[[#This Row],[GANANCIA
UNIT.(S/.)]]/TABLA_BASE[[#This Row],[PRECIO VTA.
c/IGV(S/.)]])</f>
        <v>0</v>
      </c>
      <c r="AV64" s="280">
        <f>IF(TABLA_BASE[[#This Row],[C/M UNIT.
(S/.)]]=0,0,TABLA_BASE[[#This Row],[GANANCIA
UNIT.(S/.)]]/TABLA_BASE[[#This Row],[C/M UNIT.
(S/.)]])</f>
        <v>0</v>
      </c>
      <c r="AW64" s="277" t="str">
        <f>IF(TABLA_BASE[[#This Row],[MARGEN
%]]&gt;=0.5,"🟢 ALTO",IF(TABLA_BASE[[#This Row],[MARGEN
%]]&gt;=0.3,"🟡 MEDIO","🔴 BAJO"))</f>
        <v>🔴 BAJO</v>
      </c>
    </row>
    <row r="65" spans="1:49" ht="16.5" hidden="1" thickTop="1" thickBot="1" x14ac:dyDescent="0.3">
      <c r="A65" s="277">
        <f>'🧾 Factura Comercial'!E67</f>
        <v>0</v>
      </c>
      <c r="B65" s="277">
        <f>'🧾 Factura Comercial'!F67</f>
        <v>0</v>
      </c>
      <c r="C65" s="278">
        <f>'🧾 Factura Comercial'!G67</f>
        <v>0</v>
      </c>
      <c r="D65" s="279">
        <f>'🧾 Factura Comercial'!H67</f>
        <v>0</v>
      </c>
      <c r="E65" s="279">
        <f>'🧾 Factura Comercial'!I67</f>
        <v>0</v>
      </c>
      <c r="F65" s="280">
        <f>IF('🧾 Tributos Aduana'!$F$6=0,0,'🧾 Factura Comercial'!I67/'🧾 Tributos Aduana'!$F$6)</f>
        <v>0</v>
      </c>
      <c r="G65" s="281">
        <f>'🧾 Factura Comercial'!H67*'📋 Datos Generales'!$E$19</f>
        <v>0</v>
      </c>
      <c r="H65" s="281">
        <f>TABLA_BASE[[#This Row],[FOB UNIT.
(S/.)]]*TABLA_BASE[[#This Row],[CANTIDAD
(unid.)]]</f>
        <v>0</v>
      </c>
      <c r="I65" s="283">
        <f>IF('🧾 Tributos Aduana'!$F$6=0,0,'🧾 Tributos Aduana'!$F$17*('🧾 Factura Comercial'!H67/'🧾 Tributos Aduana'!$F$6))</f>
        <v>0</v>
      </c>
      <c r="J65" s="283">
        <f>TABLA_BASE[[#This Row],[ADV UNIT.
(US$)
⚠️COSTO]]*TABLA_BASE[[#This Row],[CANTIDAD
(unid.)]]</f>
        <v>0</v>
      </c>
      <c r="K65" s="282">
        <f>IF('🧾 Tributos Aduana'!$F$6=0,0,'🧾 Tributos Aduana'!$F$18*('🧾 Factura Comercial'!H67/'🧾 Tributos Aduana'!$F$6))</f>
        <v>0</v>
      </c>
      <c r="L65" s="283">
        <f>TABLA_BASE[[#This Row],[IPM UNIT.
(US$)
✅CF]]*TABLA_BASE[[#This Row],[CANTIDAD
(unid.)]]</f>
        <v>0</v>
      </c>
      <c r="M65" s="282">
        <f>IF('🧾 Tributos Aduana'!$F$6=0,0,'🧾 Tributos Aduana'!$F$19*('🧾 Factura Comercial'!H67/'🧾 Tributos Aduana'!$F$6))</f>
        <v>0</v>
      </c>
      <c r="N65" s="283">
        <f>TABLA_BASE[[#This Row],[IGV UNIT.
(US$)
✅CF]]*TABLA_BASE[[#This Row],[CANTIDAD
(unid.)]]</f>
        <v>0</v>
      </c>
      <c r="O65" s="283">
        <f>IF('🧾 Tributos Aduana'!$F$6=0,0,'🧾 Tributos Aduana'!$F$23*('🧾 Factura Comercial'!H67/'🧾 Tributos Aduana'!$F$6))</f>
        <v>0</v>
      </c>
      <c r="P65" s="283">
        <f>TABLA_BASE[[#This Row],[PERCEP.
UNIT.(US$)
✅CF]]*TABLA_BASE[[#This Row],[CANTIDAD
(unid.)]]</f>
        <v>0</v>
      </c>
      <c r="Q65" s="282">
        <f>TABLA_BASE[[#This Row],[ADV UNIT.
(US$)
⚠️COSTO]]+TABLA_BASE[[#This Row],[IPM UNIT.
(US$)
✅CF]]+TABLA_BASE[[#This Row],[IGV UNIT.
(US$)
✅CF]]</f>
        <v>0</v>
      </c>
      <c r="R65" s="283">
        <f>TABLA_BASE[[#This Row],[DEUDA
ADUANERA
UNIT.]]*TABLA_BASE[[#This Row],[CANTIDAD
(unid.)]]</f>
        <v>0</v>
      </c>
      <c r="S65" s="284">
        <f>TABLA_BASE[[#This Row],[ADV UNIT.
(US$)
⚠️COSTO]]*'📋 Datos Generales'!$E$19</f>
        <v>0</v>
      </c>
      <c r="T65" s="284">
        <f>TABLA_BASE[[#This Row],[ADV UNIT.
(S/.)]]*TABLA_BASE[[#This Row],[CANTIDAD
(unid.)]]</f>
        <v>0</v>
      </c>
      <c r="U65" s="284">
        <f>TABLA_BASE[[#This Row],[IPM UNIT.
(US$)
✅CF]]*'📋 Datos Generales'!$E$19</f>
        <v>0</v>
      </c>
      <c r="V65" s="284">
        <f>TABLA_BASE[[#This Row],[IPM UNIT.
(S/.)]]*TABLA_BASE[[#This Row],[CANTIDAD
(unid.)]]</f>
        <v>0</v>
      </c>
      <c r="W65" s="284">
        <f>TABLA_BASE[[#This Row],[IGV UNIT.
(US$)
✅CF]]*'📋 Datos Generales'!$E$19</f>
        <v>0</v>
      </c>
      <c r="X65" s="284">
        <f>TABLA_BASE[[#This Row],[IGV UNIT.
(S/.)]]*TABLA_BASE[[#This Row],[CANTIDAD
(unid.)]]</f>
        <v>0</v>
      </c>
      <c r="Y65" s="284">
        <f>TABLA_BASE[[#This Row],[PERCEP.
UNIT.(US$)
✅CF]]*'📋 Datos Generales'!$E$19</f>
        <v>0</v>
      </c>
      <c r="Z65" s="284">
        <f>TABLA_BASE[[#This Row],[PERCEP.
UNIT.(S/.)]]*TABLA_BASE[[#This Row],[CANTIDAD
(unid.)]]</f>
        <v>0</v>
      </c>
      <c r="AA65" s="282">
        <f>TABLA_BASE[[#This Row],[ADV UNIT.
(US$)
⚠️COSTO]]+TABLA_BASE[[#This Row],[IPM UNIT.
(US$)
✅CF]]+TABLA_BASE[[#This Row],[IGV UNIT.
(US$)
✅CF]]+TABLA_BASE[[#This Row],[PERCEP.
UNIT.(US$)
✅CF]]</f>
        <v>0</v>
      </c>
      <c r="AB65" s="282">
        <f>TABLA_BASE[[#This Row],[TOTAL PAGO
SUNAT
UNIT.(US$)]]*TABLA_BASE[[#This Row],[CANTIDAD
(unid.)]]</f>
        <v>0</v>
      </c>
      <c r="AC65" s="284">
        <f>TABLA_BASE[[#This Row],[TOTAL PAGO
SUNAT
UNIT.(US$)]]*'📋 Datos Generales'!$E$19</f>
        <v>0</v>
      </c>
      <c r="AD65" s="284">
        <f>TABLA_BASE[[#This Row],[TOTAL TRIB.
UNIT.(S/.)]]*TABLA_BASE[[#This Row],[CANTIDAD
(unid.)]]</f>
        <v>0</v>
      </c>
      <c r="AE65" s="282">
        <f>IF('🧾 Factura Comercial'!G67=0,0,'📦 Gastos Importación'!$E$28*(IF('🧾 Tributos Aduana'!$F$6=0,0,'🧾 Factura Comercial'!I67/'🧾 Tributos Aduana'!$F$6))/'🧾 Factura Comercial'!G67)</f>
        <v>0</v>
      </c>
      <c r="AF65" s="282">
        <f>TABLA_BASE[[#This Row],[GASTOS IMP.
UNIT.(US$)]]*TABLA_BASE[[#This Row],[CANTIDAD
(unid.)]]</f>
        <v>0</v>
      </c>
      <c r="AG65" s="284">
        <f>TABLA_BASE[[#This Row],[GASTOS IMP.
UNIT.(US$)]]*'📋 Datos Generales'!$E$19</f>
        <v>0</v>
      </c>
      <c r="AH65" s="284">
        <f>TABLA_BASE[[#This Row],[GASTOS IMP.
UNIT.(S/.)]]*TABLA_BASE[[#This Row],[CANTIDAD
(unid.)]]</f>
        <v>0</v>
      </c>
      <c r="AI65" s="283">
        <f>'🧮 Costos x Producto'!J69</f>
        <v>0</v>
      </c>
      <c r="AJ65" s="282">
        <f>'🧮 Costos x Producto'!K69</f>
        <v>0</v>
      </c>
      <c r="AK65" s="282">
        <f>IF('🧾 Factura Comercial'!G67=0,0,'🧾 Tributos Aduana'!$F$17*(IF('🧾 Tributos Aduana'!$F$6=0,0,'🧾 Factura Comercial'!I67/'🧾 Tributos Aduana'!$F$6))/'🧾 Factura Comercial'!G67)</f>
        <v>0</v>
      </c>
      <c r="AL65" s="282">
        <f>IF('🧾 Factura Comercial'!G67=0,0,'🏦 Crédito Fiscal'!$C$16*(IF('🧾 Tributos Aduana'!$F$6=0,0,'🧾 Factura Comercial'!I67/'🧾 Tributos Aduana'!$F$6))/'🧾 Factura Comercial'!G67)</f>
        <v>0</v>
      </c>
      <c r="AM65" s="284">
        <f>TABLA_BASE[[#This Row],[CF UNIT.
✅RECUP.
(US$)]]*'📋 Datos Generales'!$E$19</f>
        <v>0</v>
      </c>
      <c r="AN65" s="281">
        <f>TABLA_BASE[[#This Row],[CF UNIT.
✅RECUP.(S/.)]]*TABLA_BASE[[#This Row],[CANTIDAD
(unid.)]]</f>
        <v>0</v>
      </c>
      <c r="AO65" s="298">
        <f>'💰 Precio de Venta'!G70</f>
        <v>0</v>
      </c>
      <c r="AP65" s="284">
        <f>'💰 Precio de Venta'!H70</f>
        <v>0</v>
      </c>
      <c r="AQ65" s="284">
        <f>'💰 Precio de Venta'!I70</f>
        <v>0</v>
      </c>
      <c r="AR65" s="281">
        <f>'💰 Precio de Venta'!J70</f>
        <v>0</v>
      </c>
      <c r="AS65" s="300">
        <f>'💰 Precio de Venta'!K70</f>
        <v>0</v>
      </c>
      <c r="AT65" s="281">
        <f>TABLA_BASE[[#This Row],[GANANCIA
UNIT.(S/.)]]*'🧾 Factura Comercial'!G67</f>
        <v>0</v>
      </c>
      <c r="AU65" s="280">
        <f>IF(TABLA_BASE[[#This Row],[PRECIO VTA.
c/IGV(S/.)]]=0,0,TABLA_BASE[[#This Row],[GANANCIA
UNIT.(S/.)]]/TABLA_BASE[[#This Row],[PRECIO VTA.
c/IGV(S/.)]])</f>
        <v>0</v>
      </c>
      <c r="AV65" s="280">
        <f>IF(TABLA_BASE[[#This Row],[C/M UNIT.
(S/.)]]=0,0,TABLA_BASE[[#This Row],[GANANCIA
UNIT.(S/.)]]/TABLA_BASE[[#This Row],[C/M UNIT.
(S/.)]])</f>
        <v>0</v>
      </c>
      <c r="AW65" s="277" t="str">
        <f>IF(TABLA_BASE[[#This Row],[MARGEN
%]]&gt;=0.5,"🟢 ALTO",IF(TABLA_BASE[[#This Row],[MARGEN
%]]&gt;=0.3,"🟡 MEDIO","🔴 BAJO"))</f>
        <v>🔴 BAJO</v>
      </c>
    </row>
    <row r="66" spans="1:49" ht="16.5" hidden="1" thickTop="1" thickBot="1" x14ac:dyDescent="0.3">
      <c r="A66" s="277">
        <f>'🧾 Factura Comercial'!E68</f>
        <v>0</v>
      </c>
      <c r="B66" s="277">
        <f>'🧾 Factura Comercial'!F68</f>
        <v>0</v>
      </c>
      <c r="C66" s="278">
        <f>'🧾 Factura Comercial'!G68</f>
        <v>0</v>
      </c>
      <c r="D66" s="279">
        <f>'🧾 Factura Comercial'!H68</f>
        <v>0</v>
      </c>
      <c r="E66" s="279">
        <f>'🧾 Factura Comercial'!I68</f>
        <v>0</v>
      </c>
      <c r="F66" s="280">
        <f>IF('🧾 Tributos Aduana'!$F$6=0,0,'🧾 Factura Comercial'!I68/'🧾 Tributos Aduana'!$F$6)</f>
        <v>0</v>
      </c>
      <c r="G66" s="281">
        <f>'🧾 Factura Comercial'!H68*'📋 Datos Generales'!$E$19</f>
        <v>0</v>
      </c>
      <c r="H66" s="281">
        <f>TABLA_BASE[[#This Row],[FOB UNIT.
(S/.)]]*TABLA_BASE[[#This Row],[CANTIDAD
(unid.)]]</f>
        <v>0</v>
      </c>
      <c r="I66" s="283">
        <f>IF('🧾 Tributos Aduana'!$F$6=0,0,'🧾 Tributos Aduana'!$F$17*('🧾 Factura Comercial'!H68/'🧾 Tributos Aduana'!$F$6))</f>
        <v>0</v>
      </c>
      <c r="J66" s="283">
        <f>TABLA_BASE[[#This Row],[ADV UNIT.
(US$)
⚠️COSTO]]*TABLA_BASE[[#This Row],[CANTIDAD
(unid.)]]</f>
        <v>0</v>
      </c>
      <c r="K66" s="282">
        <f>IF('🧾 Tributos Aduana'!$F$6=0,0,'🧾 Tributos Aduana'!$F$18*('🧾 Factura Comercial'!H68/'🧾 Tributos Aduana'!$F$6))</f>
        <v>0</v>
      </c>
      <c r="L66" s="283">
        <f>TABLA_BASE[[#This Row],[IPM UNIT.
(US$)
✅CF]]*TABLA_BASE[[#This Row],[CANTIDAD
(unid.)]]</f>
        <v>0</v>
      </c>
      <c r="M66" s="282">
        <f>IF('🧾 Tributos Aduana'!$F$6=0,0,'🧾 Tributos Aduana'!$F$19*('🧾 Factura Comercial'!H68/'🧾 Tributos Aduana'!$F$6))</f>
        <v>0</v>
      </c>
      <c r="N66" s="283">
        <f>TABLA_BASE[[#This Row],[IGV UNIT.
(US$)
✅CF]]*TABLA_BASE[[#This Row],[CANTIDAD
(unid.)]]</f>
        <v>0</v>
      </c>
      <c r="O66" s="283">
        <f>IF('🧾 Tributos Aduana'!$F$6=0,0,'🧾 Tributos Aduana'!$F$23*('🧾 Factura Comercial'!H68/'🧾 Tributos Aduana'!$F$6))</f>
        <v>0</v>
      </c>
      <c r="P66" s="283">
        <f>TABLA_BASE[[#This Row],[PERCEP.
UNIT.(US$)
✅CF]]*TABLA_BASE[[#This Row],[CANTIDAD
(unid.)]]</f>
        <v>0</v>
      </c>
      <c r="Q66" s="282">
        <f>TABLA_BASE[[#This Row],[ADV UNIT.
(US$)
⚠️COSTO]]+TABLA_BASE[[#This Row],[IPM UNIT.
(US$)
✅CF]]+TABLA_BASE[[#This Row],[IGV UNIT.
(US$)
✅CF]]</f>
        <v>0</v>
      </c>
      <c r="R66" s="283">
        <f>TABLA_BASE[[#This Row],[DEUDA
ADUANERA
UNIT.]]*TABLA_BASE[[#This Row],[CANTIDAD
(unid.)]]</f>
        <v>0</v>
      </c>
      <c r="S66" s="284">
        <f>TABLA_BASE[[#This Row],[ADV UNIT.
(US$)
⚠️COSTO]]*'📋 Datos Generales'!$E$19</f>
        <v>0</v>
      </c>
      <c r="T66" s="284">
        <f>TABLA_BASE[[#This Row],[ADV UNIT.
(S/.)]]*TABLA_BASE[[#This Row],[CANTIDAD
(unid.)]]</f>
        <v>0</v>
      </c>
      <c r="U66" s="284">
        <f>TABLA_BASE[[#This Row],[IPM UNIT.
(US$)
✅CF]]*'📋 Datos Generales'!$E$19</f>
        <v>0</v>
      </c>
      <c r="V66" s="284">
        <f>TABLA_BASE[[#This Row],[IPM UNIT.
(S/.)]]*TABLA_BASE[[#This Row],[CANTIDAD
(unid.)]]</f>
        <v>0</v>
      </c>
      <c r="W66" s="284">
        <f>TABLA_BASE[[#This Row],[IGV UNIT.
(US$)
✅CF]]*'📋 Datos Generales'!$E$19</f>
        <v>0</v>
      </c>
      <c r="X66" s="284">
        <f>TABLA_BASE[[#This Row],[IGV UNIT.
(S/.)]]*TABLA_BASE[[#This Row],[CANTIDAD
(unid.)]]</f>
        <v>0</v>
      </c>
      <c r="Y66" s="284">
        <f>TABLA_BASE[[#This Row],[PERCEP.
UNIT.(US$)
✅CF]]*'📋 Datos Generales'!$E$19</f>
        <v>0</v>
      </c>
      <c r="Z66" s="284">
        <f>TABLA_BASE[[#This Row],[PERCEP.
UNIT.(S/.)]]*TABLA_BASE[[#This Row],[CANTIDAD
(unid.)]]</f>
        <v>0</v>
      </c>
      <c r="AA66" s="282">
        <f>TABLA_BASE[[#This Row],[ADV UNIT.
(US$)
⚠️COSTO]]+TABLA_BASE[[#This Row],[IPM UNIT.
(US$)
✅CF]]+TABLA_BASE[[#This Row],[IGV UNIT.
(US$)
✅CF]]+TABLA_BASE[[#This Row],[PERCEP.
UNIT.(US$)
✅CF]]</f>
        <v>0</v>
      </c>
      <c r="AB66" s="282">
        <f>TABLA_BASE[[#This Row],[TOTAL PAGO
SUNAT
UNIT.(US$)]]*TABLA_BASE[[#This Row],[CANTIDAD
(unid.)]]</f>
        <v>0</v>
      </c>
      <c r="AC66" s="284">
        <f>TABLA_BASE[[#This Row],[TOTAL PAGO
SUNAT
UNIT.(US$)]]*'📋 Datos Generales'!$E$19</f>
        <v>0</v>
      </c>
      <c r="AD66" s="284">
        <f>TABLA_BASE[[#This Row],[TOTAL TRIB.
UNIT.(S/.)]]*TABLA_BASE[[#This Row],[CANTIDAD
(unid.)]]</f>
        <v>0</v>
      </c>
      <c r="AE66" s="282">
        <f>IF('🧾 Factura Comercial'!G68=0,0,'📦 Gastos Importación'!$E$28*(IF('🧾 Tributos Aduana'!$F$6=0,0,'🧾 Factura Comercial'!I68/'🧾 Tributos Aduana'!$F$6))/'🧾 Factura Comercial'!G68)</f>
        <v>0</v>
      </c>
      <c r="AF66" s="282">
        <f>TABLA_BASE[[#This Row],[GASTOS IMP.
UNIT.(US$)]]*TABLA_BASE[[#This Row],[CANTIDAD
(unid.)]]</f>
        <v>0</v>
      </c>
      <c r="AG66" s="284">
        <f>TABLA_BASE[[#This Row],[GASTOS IMP.
UNIT.(US$)]]*'📋 Datos Generales'!$E$19</f>
        <v>0</v>
      </c>
      <c r="AH66" s="284">
        <f>TABLA_BASE[[#This Row],[GASTOS IMP.
UNIT.(S/.)]]*TABLA_BASE[[#This Row],[CANTIDAD
(unid.)]]</f>
        <v>0</v>
      </c>
      <c r="AI66" s="283">
        <f>'🧮 Costos x Producto'!J70</f>
        <v>0</v>
      </c>
      <c r="AJ66" s="282">
        <f>'🧮 Costos x Producto'!K70</f>
        <v>0</v>
      </c>
      <c r="AK66" s="282">
        <f>IF('🧾 Factura Comercial'!G68=0,0,'🧾 Tributos Aduana'!$F$17*(IF('🧾 Tributos Aduana'!$F$6=0,0,'🧾 Factura Comercial'!I68/'🧾 Tributos Aduana'!$F$6))/'🧾 Factura Comercial'!G68)</f>
        <v>0</v>
      </c>
      <c r="AL66" s="282">
        <f>IF('🧾 Factura Comercial'!G68=0,0,'🏦 Crédito Fiscal'!$C$16*(IF('🧾 Tributos Aduana'!$F$6=0,0,'🧾 Factura Comercial'!I68/'🧾 Tributos Aduana'!$F$6))/'🧾 Factura Comercial'!G68)</f>
        <v>0</v>
      </c>
      <c r="AM66" s="284">
        <f>TABLA_BASE[[#This Row],[CF UNIT.
✅RECUP.
(US$)]]*'📋 Datos Generales'!$E$19</f>
        <v>0</v>
      </c>
      <c r="AN66" s="281">
        <f>TABLA_BASE[[#This Row],[CF UNIT.
✅RECUP.(S/.)]]*TABLA_BASE[[#This Row],[CANTIDAD
(unid.)]]</f>
        <v>0</v>
      </c>
      <c r="AO66" s="298">
        <f>'💰 Precio de Venta'!G71</f>
        <v>0</v>
      </c>
      <c r="AP66" s="284">
        <f>'💰 Precio de Venta'!H71</f>
        <v>0</v>
      </c>
      <c r="AQ66" s="284">
        <f>'💰 Precio de Venta'!I71</f>
        <v>0</v>
      </c>
      <c r="AR66" s="281">
        <f>'💰 Precio de Venta'!J71</f>
        <v>0</v>
      </c>
      <c r="AS66" s="300">
        <f>'💰 Precio de Venta'!K71</f>
        <v>0</v>
      </c>
      <c r="AT66" s="281">
        <f>TABLA_BASE[[#This Row],[GANANCIA
UNIT.(S/.)]]*'🧾 Factura Comercial'!G68</f>
        <v>0</v>
      </c>
      <c r="AU66" s="280">
        <f>IF(TABLA_BASE[[#This Row],[PRECIO VTA.
c/IGV(S/.)]]=0,0,TABLA_BASE[[#This Row],[GANANCIA
UNIT.(S/.)]]/TABLA_BASE[[#This Row],[PRECIO VTA.
c/IGV(S/.)]])</f>
        <v>0</v>
      </c>
      <c r="AV66" s="280">
        <f>IF(TABLA_BASE[[#This Row],[C/M UNIT.
(S/.)]]=0,0,TABLA_BASE[[#This Row],[GANANCIA
UNIT.(S/.)]]/TABLA_BASE[[#This Row],[C/M UNIT.
(S/.)]])</f>
        <v>0</v>
      </c>
      <c r="AW66" s="277" t="str">
        <f>IF(TABLA_BASE[[#This Row],[MARGEN
%]]&gt;=0.5,"🟢 ALTO",IF(TABLA_BASE[[#This Row],[MARGEN
%]]&gt;=0.3,"🟡 MEDIO","🔴 BAJO"))</f>
        <v>🔴 BAJO</v>
      </c>
    </row>
    <row r="67" spans="1:49" ht="16.5" hidden="1" thickTop="1" thickBot="1" x14ac:dyDescent="0.3">
      <c r="A67" s="277">
        <f>'🧾 Factura Comercial'!E69</f>
        <v>0</v>
      </c>
      <c r="B67" s="277">
        <f>'🧾 Factura Comercial'!F69</f>
        <v>0</v>
      </c>
      <c r="C67" s="278">
        <f>'🧾 Factura Comercial'!G69</f>
        <v>0</v>
      </c>
      <c r="D67" s="279">
        <f>'🧾 Factura Comercial'!H69</f>
        <v>0</v>
      </c>
      <c r="E67" s="279">
        <f>'🧾 Factura Comercial'!I69</f>
        <v>0</v>
      </c>
      <c r="F67" s="280">
        <f>IF('🧾 Tributos Aduana'!$F$6=0,0,'🧾 Factura Comercial'!I69/'🧾 Tributos Aduana'!$F$6)</f>
        <v>0</v>
      </c>
      <c r="G67" s="281">
        <f>'🧾 Factura Comercial'!H69*'📋 Datos Generales'!$E$19</f>
        <v>0</v>
      </c>
      <c r="H67" s="281">
        <f>TABLA_BASE[[#This Row],[FOB UNIT.
(S/.)]]*TABLA_BASE[[#This Row],[CANTIDAD
(unid.)]]</f>
        <v>0</v>
      </c>
      <c r="I67" s="283">
        <f>IF('🧾 Tributos Aduana'!$F$6=0,0,'🧾 Tributos Aduana'!$F$17*('🧾 Factura Comercial'!H69/'🧾 Tributos Aduana'!$F$6))</f>
        <v>0</v>
      </c>
      <c r="J67" s="283">
        <f>TABLA_BASE[[#This Row],[ADV UNIT.
(US$)
⚠️COSTO]]*TABLA_BASE[[#This Row],[CANTIDAD
(unid.)]]</f>
        <v>0</v>
      </c>
      <c r="K67" s="282">
        <f>IF('🧾 Tributos Aduana'!$F$6=0,0,'🧾 Tributos Aduana'!$F$18*('🧾 Factura Comercial'!H69/'🧾 Tributos Aduana'!$F$6))</f>
        <v>0</v>
      </c>
      <c r="L67" s="283">
        <f>TABLA_BASE[[#This Row],[IPM UNIT.
(US$)
✅CF]]*TABLA_BASE[[#This Row],[CANTIDAD
(unid.)]]</f>
        <v>0</v>
      </c>
      <c r="M67" s="282">
        <f>IF('🧾 Tributos Aduana'!$F$6=0,0,'🧾 Tributos Aduana'!$F$19*('🧾 Factura Comercial'!H69/'🧾 Tributos Aduana'!$F$6))</f>
        <v>0</v>
      </c>
      <c r="N67" s="283">
        <f>TABLA_BASE[[#This Row],[IGV UNIT.
(US$)
✅CF]]*TABLA_BASE[[#This Row],[CANTIDAD
(unid.)]]</f>
        <v>0</v>
      </c>
      <c r="O67" s="283">
        <f>IF('🧾 Tributos Aduana'!$F$6=0,0,'🧾 Tributos Aduana'!$F$23*('🧾 Factura Comercial'!H69/'🧾 Tributos Aduana'!$F$6))</f>
        <v>0</v>
      </c>
      <c r="P67" s="283">
        <f>TABLA_BASE[[#This Row],[PERCEP.
UNIT.(US$)
✅CF]]*TABLA_BASE[[#This Row],[CANTIDAD
(unid.)]]</f>
        <v>0</v>
      </c>
      <c r="Q67" s="282">
        <f>TABLA_BASE[[#This Row],[ADV UNIT.
(US$)
⚠️COSTO]]+TABLA_BASE[[#This Row],[IPM UNIT.
(US$)
✅CF]]+TABLA_BASE[[#This Row],[IGV UNIT.
(US$)
✅CF]]</f>
        <v>0</v>
      </c>
      <c r="R67" s="283">
        <f>TABLA_BASE[[#This Row],[DEUDA
ADUANERA
UNIT.]]*TABLA_BASE[[#This Row],[CANTIDAD
(unid.)]]</f>
        <v>0</v>
      </c>
      <c r="S67" s="284">
        <f>TABLA_BASE[[#This Row],[ADV UNIT.
(US$)
⚠️COSTO]]*'📋 Datos Generales'!$E$19</f>
        <v>0</v>
      </c>
      <c r="T67" s="284">
        <f>TABLA_BASE[[#This Row],[ADV UNIT.
(S/.)]]*TABLA_BASE[[#This Row],[CANTIDAD
(unid.)]]</f>
        <v>0</v>
      </c>
      <c r="U67" s="284">
        <f>TABLA_BASE[[#This Row],[IPM UNIT.
(US$)
✅CF]]*'📋 Datos Generales'!$E$19</f>
        <v>0</v>
      </c>
      <c r="V67" s="284">
        <f>TABLA_BASE[[#This Row],[IPM UNIT.
(S/.)]]*TABLA_BASE[[#This Row],[CANTIDAD
(unid.)]]</f>
        <v>0</v>
      </c>
      <c r="W67" s="284">
        <f>TABLA_BASE[[#This Row],[IGV UNIT.
(US$)
✅CF]]*'📋 Datos Generales'!$E$19</f>
        <v>0</v>
      </c>
      <c r="X67" s="284">
        <f>TABLA_BASE[[#This Row],[IGV UNIT.
(S/.)]]*TABLA_BASE[[#This Row],[CANTIDAD
(unid.)]]</f>
        <v>0</v>
      </c>
      <c r="Y67" s="284">
        <f>TABLA_BASE[[#This Row],[PERCEP.
UNIT.(US$)
✅CF]]*'📋 Datos Generales'!$E$19</f>
        <v>0</v>
      </c>
      <c r="Z67" s="284">
        <f>TABLA_BASE[[#This Row],[PERCEP.
UNIT.(S/.)]]*TABLA_BASE[[#This Row],[CANTIDAD
(unid.)]]</f>
        <v>0</v>
      </c>
      <c r="AA67" s="282">
        <f>TABLA_BASE[[#This Row],[ADV UNIT.
(US$)
⚠️COSTO]]+TABLA_BASE[[#This Row],[IPM UNIT.
(US$)
✅CF]]+TABLA_BASE[[#This Row],[IGV UNIT.
(US$)
✅CF]]+TABLA_BASE[[#This Row],[PERCEP.
UNIT.(US$)
✅CF]]</f>
        <v>0</v>
      </c>
      <c r="AB67" s="282">
        <f>TABLA_BASE[[#This Row],[TOTAL PAGO
SUNAT
UNIT.(US$)]]*TABLA_BASE[[#This Row],[CANTIDAD
(unid.)]]</f>
        <v>0</v>
      </c>
      <c r="AC67" s="284">
        <f>TABLA_BASE[[#This Row],[TOTAL PAGO
SUNAT
UNIT.(US$)]]*'📋 Datos Generales'!$E$19</f>
        <v>0</v>
      </c>
      <c r="AD67" s="284">
        <f>TABLA_BASE[[#This Row],[TOTAL TRIB.
UNIT.(S/.)]]*TABLA_BASE[[#This Row],[CANTIDAD
(unid.)]]</f>
        <v>0</v>
      </c>
      <c r="AE67" s="282">
        <f>IF('🧾 Factura Comercial'!G69=0,0,'📦 Gastos Importación'!$E$28*(IF('🧾 Tributos Aduana'!$F$6=0,0,'🧾 Factura Comercial'!I69/'🧾 Tributos Aduana'!$F$6))/'🧾 Factura Comercial'!G69)</f>
        <v>0</v>
      </c>
      <c r="AF67" s="282">
        <f>TABLA_BASE[[#This Row],[GASTOS IMP.
UNIT.(US$)]]*TABLA_BASE[[#This Row],[CANTIDAD
(unid.)]]</f>
        <v>0</v>
      </c>
      <c r="AG67" s="284">
        <f>TABLA_BASE[[#This Row],[GASTOS IMP.
UNIT.(US$)]]*'📋 Datos Generales'!$E$19</f>
        <v>0</v>
      </c>
      <c r="AH67" s="284">
        <f>TABLA_BASE[[#This Row],[GASTOS IMP.
UNIT.(S/.)]]*TABLA_BASE[[#This Row],[CANTIDAD
(unid.)]]</f>
        <v>0</v>
      </c>
      <c r="AI67" s="283">
        <f>'🧮 Costos x Producto'!J71</f>
        <v>0</v>
      </c>
      <c r="AJ67" s="282">
        <f>'🧮 Costos x Producto'!K71</f>
        <v>0</v>
      </c>
      <c r="AK67" s="282">
        <f>IF('🧾 Factura Comercial'!G69=0,0,'🧾 Tributos Aduana'!$F$17*(IF('🧾 Tributos Aduana'!$F$6=0,0,'🧾 Factura Comercial'!I69/'🧾 Tributos Aduana'!$F$6))/'🧾 Factura Comercial'!G69)</f>
        <v>0</v>
      </c>
      <c r="AL67" s="282">
        <f>IF('🧾 Factura Comercial'!G69=0,0,'🏦 Crédito Fiscal'!$C$16*(IF('🧾 Tributos Aduana'!$F$6=0,0,'🧾 Factura Comercial'!I69/'🧾 Tributos Aduana'!$F$6))/'🧾 Factura Comercial'!G69)</f>
        <v>0</v>
      </c>
      <c r="AM67" s="284">
        <f>TABLA_BASE[[#This Row],[CF UNIT.
✅RECUP.
(US$)]]*'📋 Datos Generales'!$E$19</f>
        <v>0</v>
      </c>
      <c r="AN67" s="281">
        <f>TABLA_BASE[[#This Row],[CF UNIT.
✅RECUP.(S/.)]]*TABLA_BASE[[#This Row],[CANTIDAD
(unid.)]]</f>
        <v>0</v>
      </c>
      <c r="AO67" s="298">
        <f>'💰 Precio de Venta'!G72</f>
        <v>0</v>
      </c>
      <c r="AP67" s="284">
        <f>'💰 Precio de Venta'!H72</f>
        <v>0</v>
      </c>
      <c r="AQ67" s="284">
        <f>'💰 Precio de Venta'!I72</f>
        <v>0</v>
      </c>
      <c r="AR67" s="281">
        <f>'💰 Precio de Venta'!J72</f>
        <v>0</v>
      </c>
      <c r="AS67" s="300">
        <f>'💰 Precio de Venta'!K72</f>
        <v>0</v>
      </c>
      <c r="AT67" s="281">
        <f>TABLA_BASE[[#This Row],[GANANCIA
UNIT.(S/.)]]*'🧾 Factura Comercial'!G69</f>
        <v>0</v>
      </c>
      <c r="AU67" s="280">
        <f>IF(TABLA_BASE[[#This Row],[PRECIO VTA.
c/IGV(S/.)]]=0,0,TABLA_BASE[[#This Row],[GANANCIA
UNIT.(S/.)]]/TABLA_BASE[[#This Row],[PRECIO VTA.
c/IGV(S/.)]])</f>
        <v>0</v>
      </c>
      <c r="AV67" s="280">
        <f>IF(TABLA_BASE[[#This Row],[C/M UNIT.
(S/.)]]=0,0,TABLA_BASE[[#This Row],[GANANCIA
UNIT.(S/.)]]/TABLA_BASE[[#This Row],[C/M UNIT.
(S/.)]])</f>
        <v>0</v>
      </c>
      <c r="AW67" s="277" t="str">
        <f>IF(TABLA_BASE[[#This Row],[MARGEN
%]]&gt;=0.5,"🟢 ALTO",IF(TABLA_BASE[[#This Row],[MARGEN
%]]&gt;=0.3,"🟡 MEDIO","🔴 BAJO"))</f>
        <v>🔴 BAJO</v>
      </c>
    </row>
    <row r="68" spans="1:49" ht="16.5" hidden="1" thickTop="1" thickBot="1" x14ac:dyDescent="0.3">
      <c r="A68" s="277">
        <f>'🧾 Factura Comercial'!E70</f>
        <v>0</v>
      </c>
      <c r="B68" s="277">
        <f>'🧾 Factura Comercial'!F70</f>
        <v>0</v>
      </c>
      <c r="C68" s="278">
        <f>'🧾 Factura Comercial'!G70</f>
        <v>0</v>
      </c>
      <c r="D68" s="279">
        <f>'🧾 Factura Comercial'!H70</f>
        <v>0</v>
      </c>
      <c r="E68" s="279">
        <f>'🧾 Factura Comercial'!I70</f>
        <v>0</v>
      </c>
      <c r="F68" s="280">
        <f>IF('🧾 Tributos Aduana'!$F$6=0,0,'🧾 Factura Comercial'!I70/'🧾 Tributos Aduana'!$F$6)</f>
        <v>0</v>
      </c>
      <c r="G68" s="281">
        <f>'🧾 Factura Comercial'!H70*'📋 Datos Generales'!$E$19</f>
        <v>0</v>
      </c>
      <c r="H68" s="281">
        <f>TABLA_BASE[[#This Row],[FOB UNIT.
(S/.)]]*TABLA_BASE[[#This Row],[CANTIDAD
(unid.)]]</f>
        <v>0</v>
      </c>
      <c r="I68" s="283">
        <f>IF('🧾 Tributos Aduana'!$F$6=0,0,'🧾 Tributos Aduana'!$F$17*('🧾 Factura Comercial'!H70/'🧾 Tributos Aduana'!$F$6))</f>
        <v>0</v>
      </c>
      <c r="J68" s="283">
        <f>TABLA_BASE[[#This Row],[ADV UNIT.
(US$)
⚠️COSTO]]*TABLA_BASE[[#This Row],[CANTIDAD
(unid.)]]</f>
        <v>0</v>
      </c>
      <c r="K68" s="282">
        <f>IF('🧾 Tributos Aduana'!$F$6=0,0,'🧾 Tributos Aduana'!$F$18*('🧾 Factura Comercial'!H70/'🧾 Tributos Aduana'!$F$6))</f>
        <v>0</v>
      </c>
      <c r="L68" s="283">
        <f>TABLA_BASE[[#This Row],[IPM UNIT.
(US$)
✅CF]]*TABLA_BASE[[#This Row],[CANTIDAD
(unid.)]]</f>
        <v>0</v>
      </c>
      <c r="M68" s="282">
        <f>IF('🧾 Tributos Aduana'!$F$6=0,0,'🧾 Tributos Aduana'!$F$19*('🧾 Factura Comercial'!H70/'🧾 Tributos Aduana'!$F$6))</f>
        <v>0</v>
      </c>
      <c r="N68" s="283">
        <f>TABLA_BASE[[#This Row],[IGV UNIT.
(US$)
✅CF]]*TABLA_BASE[[#This Row],[CANTIDAD
(unid.)]]</f>
        <v>0</v>
      </c>
      <c r="O68" s="283">
        <f>IF('🧾 Tributos Aduana'!$F$6=0,0,'🧾 Tributos Aduana'!$F$23*('🧾 Factura Comercial'!H70/'🧾 Tributos Aduana'!$F$6))</f>
        <v>0</v>
      </c>
      <c r="P68" s="283">
        <f>TABLA_BASE[[#This Row],[PERCEP.
UNIT.(US$)
✅CF]]*TABLA_BASE[[#This Row],[CANTIDAD
(unid.)]]</f>
        <v>0</v>
      </c>
      <c r="Q68" s="282">
        <f>TABLA_BASE[[#This Row],[ADV UNIT.
(US$)
⚠️COSTO]]+TABLA_BASE[[#This Row],[IPM UNIT.
(US$)
✅CF]]+TABLA_BASE[[#This Row],[IGV UNIT.
(US$)
✅CF]]</f>
        <v>0</v>
      </c>
      <c r="R68" s="283">
        <f>TABLA_BASE[[#This Row],[DEUDA
ADUANERA
UNIT.]]*TABLA_BASE[[#This Row],[CANTIDAD
(unid.)]]</f>
        <v>0</v>
      </c>
      <c r="S68" s="284">
        <f>TABLA_BASE[[#This Row],[ADV UNIT.
(US$)
⚠️COSTO]]*'📋 Datos Generales'!$E$19</f>
        <v>0</v>
      </c>
      <c r="T68" s="284">
        <f>TABLA_BASE[[#This Row],[ADV UNIT.
(S/.)]]*TABLA_BASE[[#This Row],[CANTIDAD
(unid.)]]</f>
        <v>0</v>
      </c>
      <c r="U68" s="284">
        <f>TABLA_BASE[[#This Row],[IPM UNIT.
(US$)
✅CF]]*'📋 Datos Generales'!$E$19</f>
        <v>0</v>
      </c>
      <c r="V68" s="284">
        <f>TABLA_BASE[[#This Row],[IPM UNIT.
(S/.)]]*TABLA_BASE[[#This Row],[CANTIDAD
(unid.)]]</f>
        <v>0</v>
      </c>
      <c r="W68" s="284">
        <f>TABLA_BASE[[#This Row],[IGV UNIT.
(US$)
✅CF]]*'📋 Datos Generales'!$E$19</f>
        <v>0</v>
      </c>
      <c r="X68" s="284">
        <f>TABLA_BASE[[#This Row],[IGV UNIT.
(S/.)]]*TABLA_BASE[[#This Row],[CANTIDAD
(unid.)]]</f>
        <v>0</v>
      </c>
      <c r="Y68" s="284">
        <f>TABLA_BASE[[#This Row],[PERCEP.
UNIT.(US$)
✅CF]]*'📋 Datos Generales'!$E$19</f>
        <v>0</v>
      </c>
      <c r="Z68" s="284">
        <f>TABLA_BASE[[#This Row],[PERCEP.
UNIT.(S/.)]]*TABLA_BASE[[#This Row],[CANTIDAD
(unid.)]]</f>
        <v>0</v>
      </c>
      <c r="AA68" s="282">
        <f>TABLA_BASE[[#This Row],[ADV UNIT.
(US$)
⚠️COSTO]]+TABLA_BASE[[#This Row],[IPM UNIT.
(US$)
✅CF]]+TABLA_BASE[[#This Row],[IGV UNIT.
(US$)
✅CF]]+TABLA_BASE[[#This Row],[PERCEP.
UNIT.(US$)
✅CF]]</f>
        <v>0</v>
      </c>
      <c r="AB68" s="282">
        <f>TABLA_BASE[[#This Row],[TOTAL PAGO
SUNAT
UNIT.(US$)]]*TABLA_BASE[[#This Row],[CANTIDAD
(unid.)]]</f>
        <v>0</v>
      </c>
      <c r="AC68" s="284">
        <f>TABLA_BASE[[#This Row],[TOTAL PAGO
SUNAT
UNIT.(US$)]]*'📋 Datos Generales'!$E$19</f>
        <v>0</v>
      </c>
      <c r="AD68" s="284">
        <f>TABLA_BASE[[#This Row],[TOTAL TRIB.
UNIT.(S/.)]]*TABLA_BASE[[#This Row],[CANTIDAD
(unid.)]]</f>
        <v>0</v>
      </c>
      <c r="AE68" s="282">
        <f>IF('🧾 Factura Comercial'!G70=0,0,'📦 Gastos Importación'!$E$28*(IF('🧾 Tributos Aduana'!$F$6=0,0,'🧾 Factura Comercial'!I70/'🧾 Tributos Aduana'!$F$6))/'🧾 Factura Comercial'!G70)</f>
        <v>0</v>
      </c>
      <c r="AF68" s="282">
        <f>TABLA_BASE[[#This Row],[GASTOS IMP.
UNIT.(US$)]]*TABLA_BASE[[#This Row],[CANTIDAD
(unid.)]]</f>
        <v>0</v>
      </c>
      <c r="AG68" s="284">
        <f>TABLA_BASE[[#This Row],[GASTOS IMP.
UNIT.(US$)]]*'📋 Datos Generales'!$E$19</f>
        <v>0</v>
      </c>
      <c r="AH68" s="284">
        <f>TABLA_BASE[[#This Row],[GASTOS IMP.
UNIT.(S/.)]]*TABLA_BASE[[#This Row],[CANTIDAD
(unid.)]]</f>
        <v>0</v>
      </c>
      <c r="AI68" s="283">
        <f>'🧮 Costos x Producto'!J72</f>
        <v>0</v>
      </c>
      <c r="AJ68" s="282">
        <f>'🧮 Costos x Producto'!K72</f>
        <v>0</v>
      </c>
      <c r="AK68" s="282">
        <f>IF('🧾 Factura Comercial'!G70=0,0,'🧾 Tributos Aduana'!$F$17*(IF('🧾 Tributos Aduana'!$F$6=0,0,'🧾 Factura Comercial'!I70/'🧾 Tributos Aduana'!$F$6))/'🧾 Factura Comercial'!G70)</f>
        <v>0</v>
      </c>
      <c r="AL68" s="282">
        <f>IF('🧾 Factura Comercial'!G70=0,0,'🏦 Crédito Fiscal'!$C$16*(IF('🧾 Tributos Aduana'!$F$6=0,0,'🧾 Factura Comercial'!I70/'🧾 Tributos Aduana'!$F$6))/'🧾 Factura Comercial'!G70)</f>
        <v>0</v>
      </c>
      <c r="AM68" s="284">
        <f>TABLA_BASE[[#This Row],[CF UNIT.
✅RECUP.
(US$)]]*'📋 Datos Generales'!$E$19</f>
        <v>0</v>
      </c>
      <c r="AN68" s="281">
        <f>TABLA_BASE[[#This Row],[CF UNIT.
✅RECUP.(S/.)]]*TABLA_BASE[[#This Row],[CANTIDAD
(unid.)]]</f>
        <v>0</v>
      </c>
      <c r="AO68" s="298">
        <f>'💰 Precio de Venta'!G73</f>
        <v>0</v>
      </c>
      <c r="AP68" s="284">
        <f>'💰 Precio de Venta'!H73</f>
        <v>0</v>
      </c>
      <c r="AQ68" s="284">
        <f>'💰 Precio de Venta'!I73</f>
        <v>0</v>
      </c>
      <c r="AR68" s="281">
        <f>'💰 Precio de Venta'!J73</f>
        <v>0</v>
      </c>
      <c r="AS68" s="300">
        <f>'💰 Precio de Venta'!K73</f>
        <v>0</v>
      </c>
      <c r="AT68" s="281">
        <f>TABLA_BASE[[#This Row],[GANANCIA
UNIT.(S/.)]]*'🧾 Factura Comercial'!G70</f>
        <v>0</v>
      </c>
      <c r="AU68" s="280">
        <f>IF(TABLA_BASE[[#This Row],[PRECIO VTA.
c/IGV(S/.)]]=0,0,TABLA_BASE[[#This Row],[GANANCIA
UNIT.(S/.)]]/TABLA_BASE[[#This Row],[PRECIO VTA.
c/IGV(S/.)]])</f>
        <v>0</v>
      </c>
      <c r="AV68" s="280">
        <f>IF(TABLA_BASE[[#This Row],[C/M UNIT.
(S/.)]]=0,0,TABLA_BASE[[#This Row],[GANANCIA
UNIT.(S/.)]]/TABLA_BASE[[#This Row],[C/M UNIT.
(S/.)]])</f>
        <v>0</v>
      </c>
      <c r="AW68" s="277" t="str">
        <f>IF(TABLA_BASE[[#This Row],[MARGEN
%]]&gt;=0.5,"🟢 ALTO",IF(TABLA_BASE[[#This Row],[MARGEN
%]]&gt;=0.3,"🟡 MEDIO","🔴 BAJO"))</f>
        <v>🔴 BAJO</v>
      </c>
    </row>
    <row r="69" spans="1:49" ht="16.5" hidden="1" thickTop="1" thickBot="1" x14ac:dyDescent="0.3">
      <c r="A69" s="277">
        <f>'🧾 Factura Comercial'!E71</f>
        <v>0</v>
      </c>
      <c r="B69" s="277">
        <f>'🧾 Factura Comercial'!F71</f>
        <v>0</v>
      </c>
      <c r="C69" s="278">
        <f>'🧾 Factura Comercial'!G71</f>
        <v>0</v>
      </c>
      <c r="D69" s="279">
        <f>'🧾 Factura Comercial'!H71</f>
        <v>0</v>
      </c>
      <c r="E69" s="279">
        <f>'🧾 Factura Comercial'!I71</f>
        <v>0</v>
      </c>
      <c r="F69" s="280">
        <f>IF('🧾 Tributos Aduana'!$F$6=0,0,'🧾 Factura Comercial'!I71/'🧾 Tributos Aduana'!$F$6)</f>
        <v>0</v>
      </c>
      <c r="G69" s="281">
        <f>'🧾 Factura Comercial'!H71*'📋 Datos Generales'!$E$19</f>
        <v>0</v>
      </c>
      <c r="H69" s="281">
        <f>TABLA_BASE[[#This Row],[FOB UNIT.
(S/.)]]*TABLA_BASE[[#This Row],[CANTIDAD
(unid.)]]</f>
        <v>0</v>
      </c>
      <c r="I69" s="283">
        <f>IF('🧾 Tributos Aduana'!$F$6=0,0,'🧾 Tributos Aduana'!$F$17*('🧾 Factura Comercial'!H71/'🧾 Tributos Aduana'!$F$6))</f>
        <v>0</v>
      </c>
      <c r="J69" s="283">
        <f>TABLA_BASE[[#This Row],[ADV UNIT.
(US$)
⚠️COSTO]]*TABLA_BASE[[#This Row],[CANTIDAD
(unid.)]]</f>
        <v>0</v>
      </c>
      <c r="K69" s="282">
        <f>IF('🧾 Tributos Aduana'!$F$6=0,0,'🧾 Tributos Aduana'!$F$18*('🧾 Factura Comercial'!H71/'🧾 Tributos Aduana'!$F$6))</f>
        <v>0</v>
      </c>
      <c r="L69" s="283">
        <f>TABLA_BASE[[#This Row],[IPM UNIT.
(US$)
✅CF]]*TABLA_BASE[[#This Row],[CANTIDAD
(unid.)]]</f>
        <v>0</v>
      </c>
      <c r="M69" s="282">
        <f>IF('🧾 Tributos Aduana'!$F$6=0,0,'🧾 Tributos Aduana'!$F$19*('🧾 Factura Comercial'!H71/'🧾 Tributos Aduana'!$F$6))</f>
        <v>0</v>
      </c>
      <c r="N69" s="283">
        <f>TABLA_BASE[[#This Row],[IGV UNIT.
(US$)
✅CF]]*TABLA_BASE[[#This Row],[CANTIDAD
(unid.)]]</f>
        <v>0</v>
      </c>
      <c r="O69" s="283">
        <f>IF('🧾 Tributos Aduana'!$F$6=0,0,'🧾 Tributos Aduana'!$F$23*('🧾 Factura Comercial'!H71/'🧾 Tributos Aduana'!$F$6))</f>
        <v>0</v>
      </c>
      <c r="P69" s="283">
        <f>TABLA_BASE[[#This Row],[PERCEP.
UNIT.(US$)
✅CF]]*TABLA_BASE[[#This Row],[CANTIDAD
(unid.)]]</f>
        <v>0</v>
      </c>
      <c r="Q69" s="282">
        <f>TABLA_BASE[[#This Row],[ADV UNIT.
(US$)
⚠️COSTO]]+TABLA_BASE[[#This Row],[IPM UNIT.
(US$)
✅CF]]+TABLA_BASE[[#This Row],[IGV UNIT.
(US$)
✅CF]]</f>
        <v>0</v>
      </c>
      <c r="R69" s="283">
        <f>TABLA_BASE[[#This Row],[DEUDA
ADUANERA
UNIT.]]*TABLA_BASE[[#This Row],[CANTIDAD
(unid.)]]</f>
        <v>0</v>
      </c>
      <c r="S69" s="284">
        <f>TABLA_BASE[[#This Row],[ADV UNIT.
(US$)
⚠️COSTO]]*'📋 Datos Generales'!$E$19</f>
        <v>0</v>
      </c>
      <c r="T69" s="284">
        <f>TABLA_BASE[[#This Row],[ADV UNIT.
(S/.)]]*TABLA_BASE[[#This Row],[CANTIDAD
(unid.)]]</f>
        <v>0</v>
      </c>
      <c r="U69" s="284">
        <f>TABLA_BASE[[#This Row],[IPM UNIT.
(US$)
✅CF]]*'📋 Datos Generales'!$E$19</f>
        <v>0</v>
      </c>
      <c r="V69" s="284">
        <f>TABLA_BASE[[#This Row],[IPM UNIT.
(S/.)]]*TABLA_BASE[[#This Row],[CANTIDAD
(unid.)]]</f>
        <v>0</v>
      </c>
      <c r="W69" s="284">
        <f>TABLA_BASE[[#This Row],[IGV UNIT.
(US$)
✅CF]]*'📋 Datos Generales'!$E$19</f>
        <v>0</v>
      </c>
      <c r="X69" s="284">
        <f>TABLA_BASE[[#This Row],[IGV UNIT.
(S/.)]]*TABLA_BASE[[#This Row],[CANTIDAD
(unid.)]]</f>
        <v>0</v>
      </c>
      <c r="Y69" s="284">
        <f>TABLA_BASE[[#This Row],[PERCEP.
UNIT.(US$)
✅CF]]*'📋 Datos Generales'!$E$19</f>
        <v>0</v>
      </c>
      <c r="Z69" s="284">
        <f>TABLA_BASE[[#This Row],[PERCEP.
UNIT.(S/.)]]*TABLA_BASE[[#This Row],[CANTIDAD
(unid.)]]</f>
        <v>0</v>
      </c>
      <c r="AA69" s="282">
        <f>TABLA_BASE[[#This Row],[ADV UNIT.
(US$)
⚠️COSTO]]+TABLA_BASE[[#This Row],[IPM UNIT.
(US$)
✅CF]]+TABLA_BASE[[#This Row],[IGV UNIT.
(US$)
✅CF]]+TABLA_BASE[[#This Row],[PERCEP.
UNIT.(US$)
✅CF]]</f>
        <v>0</v>
      </c>
      <c r="AB69" s="282">
        <f>TABLA_BASE[[#This Row],[TOTAL PAGO
SUNAT
UNIT.(US$)]]*TABLA_BASE[[#This Row],[CANTIDAD
(unid.)]]</f>
        <v>0</v>
      </c>
      <c r="AC69" s="284">
        <f>TABLA_BASE[[#This Row],[TOTAL PAGO
SUNAT
UNIT.(US$)]]*'📋 Datos Generales'!$E$19</f>
        <v>0</v>
      </c>
      <c r="AD69" s="284">
        <f>TABLA_BASE[[#This Row],[TOTAL TRIB.
UNIT.(S/.)]]*TABLA_BASE[[#This Row],[CANTIDAD
(unid.)]]</f>
        <v>0</v>
      </c>
      <c r="AE69" s="282">
        <f>IF('🧾 Factura Comercial'!G71=0,0,'📦 Gastos Importación'!$E$28*(IF('🧾 Tributos Aduana'!$F$6=0,0,'🧾 Factura Comercial'!I71/'🧾 Tributos Aduana'!$F$6))/'🧾 Factura Comercial'!G71)</f>
        <v>0</v>
      </c>
      <c r="AF69" s="282">
        <f>TABLA_BASE[[#This Row],[GASTOS IMP.
UNIT.(US$)]]*TABLA_BASE[[#This Row],[CANTIDAD
(unid.)]]</f>
        <v>0</v>
      </c>
      <c r="AG69" s="284">
        <f>TABLA_BASE[[#This Row],[GASTOS IMP.
UNIT.(US$)]]*'📋 Datos Generales'!$E$19</f>
        <v>0</v>
      </c>
      <c r="AH69" s="284">
        <f>TABLA_BASE[[#This Row],[GASTOS IMP.
UNIT.(S/.)]]*TABLA_BASE[[#This Row],[CANTIDAD
(unid.)]]</f>
        <v>0</v>
      </c>
      <c r="AI69" s="283">
        <f>'🧮 Costos x Producto'!J73</f>
        <v>0</v>
      </c>
      <c r="AJ69" s="282">
        <f>'🧮 Costos x Producto'!K73</f>
        <v>0</v>
      </c>
      <c r="AK69" s="282">
        <f>IF('🧾 Factura Comercial'!G71=0,0,'🧾 Tributos Aduana'!$F$17*(IF('🧾 Tributos Aduana'!$F$6=0,0,'🧾 Factura Comercial'!I71/'🧾 Tributos Aduana'!$F$6))/'🧾 Factura Comercial'!G71)</f>
        <v>0</v>
      </c>
      <c r="AL69" s="282">
        <f>IF('🧾 Factura Comercial'!G71=0,0,'🏦 Crédito Fiscal'!$C$16*(IF('🧾 Tributos Aduana'!$F$6=0,0,'🧾 Factura Comercial'!I71/'🧾 Tributos Aduana'!$F$6))/'🧾 Factura Comercial'!G71)</f>
        <v>0</v>
      </c>
      <c r="AM69" s="284">
        <f>TABLA_BASE[[#This Row],[CF UNIT.
✅RECUP.
(US$)]]*'📋 Datos Generales'!$E$19</f>
        <v>0</v>
      </c>
      <c r="AN69" s="281">
        <f>TABLA_BASE[[#This Row],[CF UNIT.
✅RECUP.(S/.)]]*TABLA_BASE[[#This Row],[CANTIDAD
(unid.)]]</f>
        <v>0</v>
      </c>
      <c r="AO69" s="298">
        <f>'💰 Precio de Venta'!G74</f>
        <v>0</v>
      </c>
      <c r="AP69" s="284">
        <f>'💰 Precio de Venta'!H74</f>
        <v>0</v>
      </c>
      <c r="AQ69" s="284">
        <f>'💰 Precio de Venta'!I74</f>
        <v>0</v>
      </c>
      <c r="AR69" s="281">
        <f>'💰 Precio de Venta'!J74</f>
        <v>0</v>
      </c>
      <c r="AS69" s="300">
        <f>'💰 Precio de Venta'!K74</f>
        <v>0</v>
      </c>
      <c r="AT69" s="281">
        <f>TABLA_BASE[[#This Row],[GANANCIA
UNIT.(S/.)]]*'🧾 Factura Comercial'!G71</f>
        <v>0</v>
      </c>
      <c r="AU69" s="280">
        <f>IF(TABLA_BASE[[#This Row],[PRECIO VTA.
c/IGV(S/.)]]=0,0,TABLA_BASE[[#This Row],[GANANCIA
UNIT.(S/.)]]/TABLA_BASE[[#This Row],[PRECIO VTA.
c/IGV(S/.)]])</f>
        <v>0</v>
      </c>
      <c r="AV69" s="280">
        <f>IF(TABLA_BASE[[#This Row],[C/M UNIT.
(S/.)]]=0,0,TABLA_BASE[[#This Row],[GANANCIA
UNIT.(S/.)]]/TABLA_BASE[[#This Row],[C/M UNIT.
(S/.)]])</f>
        <v>0</v>
      </c>
      <c r="AW69" s="277" t="str">
        <f>IF(TABLA_BASE[[#This Row],[MARGEN
%]]&gt;=0.5,"🟢 ALTO",IF(TABLA_BASE[[#This Row],[MARGEN
%]]&gt;=0.3,"🟡 MEDIO","🔴 BAJO"))</f>
        <v>🔴 BAJO</v>
      </c>
    </row>
    <row r="70" spans="1:49" ht="16.5" hidden="1" thickTop="1" thickBot="1" x14ac:dyDescent="0.3">
      <c r="A70" s="277">
        <f>'🧾 Factura Comercial'!E72</f>
        <v>0</v>
      </c>
      <c r="B70" s="277">
        <f>'🧾 Factura Comercial'!F72</f>
        <v>0</v>
      </c>
      <c r="C70" s="278">
        <f>'🧾 Factura Comercial'!G72</f>
        <v>0</v>
      </c>
      <c r="D70" s="279">
        <f>'🧾 Factura Comercial'!H72</f>
        <v>0</v>
      </c>
      <c r="E70" s="279">
        <f>'🧾 Factura Comercial'!I72</f>
        <v>0</v>
      </c>
      <c r="F70" s="280">
        <f>IF('🧾 Tributos Aduana'!$F$6=0,0,'🧾 Factura Comercial'!I72/'🧾 Tributos Aduana'!$F$6)</f>
        <v>0</v>
      </c>
      <c r="G70" s="281">
        <f>'🧾 Factura Comercial'!H72*'📋 Datos Generales'!$E$19</f>
        <v>0</v>
      </c>
      <c r="H70" s="281">
        <f>TABLA_BASE[[#This Row],[FOB UNIT.
(S/.)]]*TABLA_BASE[[#This Row],[CANTIDAD
(unid.)]]</f>
        <v>0</v>
      </c>
      <c r="I70" s="283">
        <f>IF('🧾 Tributos Aduana'!$F$6=0,0,'🧾 Tributos Aduana'!$F$17*('🧾 Factura Comercial'!H72/'🧾 Tributos Aduana'!$F$6))</f>
        <v>0</v>
      </c>
      <c r="J70" s="283">
        <f>TABLA_BASE[[#This Row],[ADV UNIT.
(US$)
⚠️COSTO]]*TABLA_BASE[[#This Row],[CANTIDAD
(unid.)]]</f>
        <v>0</v>
      </c>
      <c r="K70" s="282">
        <f>IF('🧾 Tributos Aduana'!$F$6=0,0,'🧾 Tributos Aduana'!$F$18*('🧾 Factura Comercial'!H72/'🧾 Tributos Aduana'!$F$6))</f>
        <v>0</v>
      </c>
      <c r="L70" s="283">
        <f>TABLA_BASE[[#This Row],[IPM UNIT.
(US$)
✅CF]]*TABLA_BASE[[#This Row],[CANTIDAD
(unid.)]]</f>
        <v>0</v>
      </c>
      <c r="M70" s="282">
        <f>IF('🧾 Tributos Aduana'!$F$6=0,0,'🧾 Tributos Aduana'!$F$19*('🧾 Factura Comercial'!H72/'🧾 Tributos Aduana'!$F$6))</f>
        <v>0</v>
      </c>
      <c r="N70" s="283">
        <f>TABLA_BASE[[#This Row],[IGV UNIT.
(US$)
✅CF]]*TABLA_BASE[[#This Row],[CANTIDAD
(unid.)]]</f>
        <v>0</v>
      </c>
      <c r="O70" s="283">
        <f>IF('🧾 Tributos Aduana'!$F$6=0,0,'🧾 Tributos Aduana'!$F$23*('🧾 Factura Comercial'!H72/'🧾 Tributos Aduana'!$F$6))</f>
        <v>0</v>
      </c>
      <c r="P70" s="283">
        <f>TABLA_BASE[[#This Row],[PERCEP.
UNIT.(US$)
✅CF]]*TABLA_BASE[[#This Row],[CANTIDAD
(unid.)]]</f>
        <v>0</v>
      </c>
      <c r="Q70" s="282">
        <f>TABLA_BASE[[#This Row],[ADV UNIT.
(US$)
⚠️COSTO]]+TABLA_BASE[[#This Row],[IPM UNIT.
(US$)
✅CF]]+TABLA_BASE[[#This Row],[IGV UNIT.
(US$)
✅CF]]</f>
        <v>0</v>
      </c>
      <c r="R70" s="283">
        <f>TABLA_BASE[[#This Row],[DEUDA
ADUANERA
UNIT.]]*TABLA_BASE[[#This Row],[CANTIDAD
(unid.)]]</f>
        <v>0</v>
      </c>
      <c r="S70" s="284">
        <f>TABLA_BASE[[#This Row],[ADV UNIT.
(US$)
⚠️COSTO]]*'📋 Datos Generales'!$E$19</f>
        <v>0</v>
      </c>
      <c r="T70" s="284">
        <f>TABLA_BASE[[#This Row],[ADV UNIT.
(S/.)]]*TABLA_BASE[[#This Row],[CANTIDAD
(unid.)]]</f>
        <v>0</v>
      </c>
      <c r="U70" s="284">
        <f>TABLA_BASE[[#This Row],[IPM UNIT.
(US$)
✅CF]]*'📋 Datos Generales'!$E$19</f>
        <v>0</v>
      </c>
      <c r="V70" s="284">
        <f>TABLA_BASE[[#This Row],[IPM UNIT.
(S/.)]]*TABLA_BASE[[#This Row],[CANTIDAD
(unid.)]]</f>
        <v>0</v>
      </c>
      <c r="W70" s="284">
        <f>TABLA_BASE[[#This Row],[IGV UNIT.
(US$)
✅CF]]*'📋 Datos Generales'!$E$19</f>
        <v>0</v>
      </c>
      <c r="X70" s="284">
        <f>TABLA_BASE[[#This Row],[IGV UNIT.
(S/.)]]*TABLA_BASE[[#This Row],[CANTIDAD
(unid.)]]</f>
        <v>0</v>
      </c>
      <c r="Y70" s="284">
        <f>TABLA_BASE[[#This Row],[PERCEP.
UNIT.(US$)
✅CF]]*'📋 Datos Generales'!$E$19</f>
        <v>0</v>
      </c>
      <c r="Z70" s="284">
        <f>TABLA_BASE[[#This Row],[PERCEP.
UNIT.(S/.)]]*TABLA_BASE[[#This Row],[CANTIDAD
(unid.)]]</f>
        <v>0</v>
      </c>
      <c r="AA70" s="282">
        <f>TABLA_BASE[[#This Row],[ADV UNIT.
(US$)
⚠️COSTO]]+TABLA_BASE[[#This Row],[IPM UNIT.
(US$)
✅CF]]+TABLA_BASE[[#This Row],[IGV UNIT.
(US$)
✅CF]]+TABLA_BASE[[#This Row],[PERCEP.
UNIT.(US$)
✅CF]]</f>
        <v>0</v>
      </c>
      <c r="AB70" s="282">
        <f>TABLA_BASE[[#This Row],[TOTAL PAGO
SUNAT
UNIT.(US$)]]*TABLA_BASE[[#This Row],[CANTIDAD
(unid.)]]</f>
        <v>0</v>
      </c>
      <c r="AC70" s="284">
        <f>TABLA_BASE[[#This Row],[TOTAL PAGO
SUNAT
UNIT.(US$)]]*'📋 Datos Generales'!$E$19</f>
        <v>0</v>
      </c>
      <c r="AD70" s="284">
        <f>TABLA_BASE[[#This Row],[TOTAL TRIB.
UNIT.(S/.)]]*TABLA_BASE[[#This Row],[CANTIDAD
(unid.)]]</f>
        <v>0</v>
      </c>
      <c r="AE70" s="282">
        <f>IF('🧾 Factura Comercial'!G72=0,0,'📦 Gastos Importación'!$E$28*(IF('🧾 Tributos Aduana'!$F$6=0,0,'🧾 Factura Comercial'!I72/'🧾 Tributos Aduana'!$F$6))/'🧾 Factura Comercial'!G72)</f>
        <v>0</v>
      </c>
      <c r="AF70" s="282">
        <f>TABLA_BASE[[#This Row],[GASTOS IMP.
UNIT.(US$)]]*TABLA_BASE[[#This Row],[CANTIDAD
(unid.)]]</f>
        <v>0</v>
      </c>
      <c r="AG70" s="284">
        <f>TABLA_BASE[[#This Row],[GASTOS IMP.
UNIT.(US$)]]*'📋 Datos Generales'!$E$19</f>
        <v>0</v>
      </c>
      <c r="AH70" s="284">
        <f>TABLA_BASE[[#This Row],[GASTOS IMP.
UNIT.(S/.)]]*TABLA_BASE[[#This Row],[CANTIDAD
(unid.)]]</f>
        <v>0</v>
      </c>
      <c r="AI70" s="283">
        <f>'🧮 Costos x Producto'!J74</f>
        <v>0</v>
      </c>
      <c r="AJ70" s="282">
        <f>'🧮 Costos x Producto'!K74</f>
        <v>0</v>
      </c>
      <c r="AK70" s="282">
        <f>IF('🧾 Factura Comercial'!G72=0,0,'🧾 Tributos Aduana'!$F$17*(IF('🧾 Tributos Aduana'!$F$6=0,0,'🧾 Factura Comercial'!I72/'🧾 Tributos Aduana'!$F$6))/'🧾 Factura Comercial'!G72)</f>
        <v>0</v>
      </c>
      <c r="AL70" s="282">
        <f>IF('🧾 Factura Comercial'!G72=0,0,'🏦 Crédito Fiscal'!$C$16*(IF('🧾 Tributos Aduana'!$F$6=0,0,'🧾 Factura Comercial'!I72/'🧾 Tributos Aduana'!$F$6))/'🧾 Factura Comercial'!G72)</f>
        <v>0</v>
      </c>
      <c r="AM70" s="284">
        <f>TABLA_BASE[[#This Row],[CF UNIT.
✅RECUP.
(US$)]]*'📋 Datos Generales'!$E$19</f>
        <v>0</v>
      </c>
      <c r="AN70" s="281">
        <f>TABLA_BASE[[#This Row],[CF UNIT.
✅RECUP.(S/.)]]*TABLA_BASE[[#This Row],[CANTIDAD
(unid.)]]</f>
        <v>0</v>
      </c>
      <c r="AO70" s="298">
        <f>'💰 Precio de Venta'!G75</f>
        <v>0</v>
      </c>
      <c r="AP70" s="284">
        <f>'💰 Precio de Venta'!H75</f>
        <v>0</v>
      </c>
      <c r="AQ70" s="284">
        <f>'💰 Precio de Venta'!I75</f>
        <v>0</v>
      </c>
      <c r="AR70" s="281">
        <f>'💰 Precio de Venta'!J75</f>
        <v>0</v>
      </c>
      <c r="AS70" s="300">
        <f>'💰 Precio de Venta'!K75</f>
        <v>0</v>
      </c>
      <c r="AT70" s="281">
        <f>TABLA_BASE[[#This Row],[GANANCIA
UNIT.(S/.)]]*'🧾 Factura Comercial'!G72</f>
        <v>0</v>
      </c>
      <c r="AU70" s="280">
        <f>IF(TABLA_BASE[[#This Row],[PRECIO VTA.
c/IGV(S/.)]]=0,0,TABLA_BASE[[#This Row],[GANANCIA
UNIT.(S/.)]]/TABLA_BASE[[#This Row],[PRECIO VTA.
c/IGV(S/.)]])</f>
        <v>0</v>
      </c>
      <c r="AV70" s="280">
        <f>IF(TABLA_BASE[[#This Row],[C/M UNIT.
(S/.)]]=0,0,TABLA_BASE[[#This Row],[GANANCIA
UNIT.(S/.)]]/TABLA_BASE[[#This Row],[C/M UNIT.
(S/.)]])</f>
        <v>0</v>
      </c>
      <c r="AW70" s="277" t="str">
        <f>IF(TABLA_BASE[[#This Row],[MARGEN
%]]&gt;=0.5,"🟢 ALTO",IF(TABLA_BASE[[#This Row],[MARGEN
%]]&gt;=0.3,"🟡 MEDIO","🔴 BAJO"))</f>
        <v>🔴 BAJO</v>
      </c>
    </row>
    <row r="71" spans="1:49" ht="16.5" hidden="1" thickTop="1" thickBot="1" x14ac:dyDescent="0.3">
      <c r="A71" s="277">
        <f>'🧾 Factura Comercial'!E73</f>
        <v>0</v>
      </c>
      <c r="B71" s="277">
        <f>'🧾 Factura Comercial'!F73</f>
        <v>0</v>
      </c>
      <c r="C71" s="278">
        <f>'🧾 Factura Comercial'!G73</f>
        <v>0</v>
      </c>
      <c r="D71" s="279">
        <f>'🧾 Factura Comercial'!H73</f>
        <v>0</v>
      </c>
      <c r="E71" s="279">
        <f>'🧾 Factura Comercial'!I73</f>
        <v>0</v>
      </c>
      <c r="F71" s="280">
        <f>IF('🧾 Tributos Aduana'!$F$6=0,0,'🧾 Factura Comercial'!I73/'🧾 Tributos Aduana'!$F$6)</f>
        <v>0</v>
      </c>
      <c r="G71" s="281">
        <f>'🧾 Factura Comercial'!H73*'📋 Datos Generales'!$E$19</f>
        <v>0</v>
      </c>
      <c r="H71" s="281">
        <f>TABLA_BASE[[#This Row],[FOB UNIT.
(S/.)]]*TABLA_BASE[[#This Row],[CANTIDAD
(unid.)]]</f>
        <v>0</v>
      </c>
      <c r="I71" s="283">
        <f>IF('🧾 Tributos Aduana'!$F$6=0,0,'🧾 Tributos Aduana'!$F$17*('🧾 Factura Comercial'!H73/'🧾 Tributos Aduana'!$F$6))</f>
        <v>0</v>
      </c>
      <c r="J71" s="283">
        <f>TABLA_BASE[[#This Row],[ADV UNIT.
(US$)
⚠️COSTO]]*TABLA_BASE[[#This Row],[CANTIDAD
(unid.)]]</f>
        <v>0</v>
      </c>
      <c r="K71" s="282">
        <f>IF('🧾 Tributos Aduana'!$F$6=0,0,'🧾 Tributos Aduana'!$F$18*('🧾 Factura Comercial'!H73/'🧾 Tributos Aduana'!$F$6))</f>
        <v>0</v>
      </c>
      <c r="L71" s="283">
        <f>TABLA_BASE[[#This Row],[IPM UNIT.
(US$)
✅CF]]*TABLA_BASE[[#This Row],[CANTIDAD
(unid.)]]</f>
        <v>0</v>
      </c>
      <c r="M71" s="282">
        <f>IF('🧾 Tributos Aduana'!$F$6=0,0,'🧾 Tributos Aduana'!$F$19*('🧾 Factura Comercial'!H73/'🧾 Tributos Aduana'!$F$6))</f>
        <v>0</v>
      </c>
      <c r="N71" s="283">
        <f>TABLA_BASE[[#This Row],[IGV UNIT.
(US$)
✅CF]]*TABLA_BASE[[#This Row],[CANTIDAD
(unid.)]]</f>
        <v>0</v>
      </c>
      <c r="O71" s="283">
        <f>IF('🧾 Tributos Aduana'!$F$6=0,0,'🧾 Tributos Aduana'!$F$23*('🧾 Factura Comercial'!H73/'🧾 Tributos Aduana'!$F$6))</f>
        <v>0</v>
      </c>
      <c r="P71" s="283">
        <f>TABLA_BASE[[#This Row],[PERCEP.
UNIT.(US$)
✅CF]]*TABLA_BASE[[#This Row],[CANTIDAD
(unid.)]]</f>
        <v>0</v>
      </c>
      <c r="Q71" s="282">
        <f>TABLA_BASE[[#This Row],[ADV UNIT.
(US$)
⚠️COSTO]]+TABLA_BASE[[#This Row],[IPM UNIT.
(US$)
✅CF]]+TABLA_BASE[[#This Row],[IGV UNIT.
(US$)
✅CF]]</f>
        <v>0</v>
      </c>
      <c r="R71" s="283">
        <f>TABLA_BASE[[#This Row],[DEUDA
ADUANERA
UNIT.]]*TABLA_BASE[[#This Row],[CANTIDAD
(unid.)]]</f>
        <v>0</v>
      </c>
      <c r="S71" s="284">
        <f>TABLA_BASE[[#This Row],[ADV UNIT.
(US$)
⚠️COSTO]]*'📋 Datos Generales'!$E$19</f>
        <v>0</v>
      </c>
      <c r="T71" s="284">
        <f>TABLA_BASE[[#This Row],[ADV UNIT.
(S/.)]]*TABLA_BASE[[#This Row],[CANTIDAD
(unid.)]]</f>
        <v>0</v>
      </c>
      <c r="U71" s="284">
        <f>TABLA_BASE[[#This Row],[IPM UNIT.
(US$)
✅CF]]*'📋 Datos Generales'!$E$19</f>
        <v>0</v>
      </c>
      <c r="V71" s="284">
        <f>TABLA_BASE[[#This Row],[IPM UNIT.
(S/.)]]*TABLA_BASE[[#This Row],[CANTIDAD
(unid.)]]</f>
        <v>0</v>
      </c>
      <c r="W71" s="284">
        <f>TABLA_BASE[[#This Row],[IGV UNIT.
(US$)
✅CF]]*'📋 Datos Generales'!$E$19</f>
        <v>0</v>
      </c>
      <c r="X71" s="284">
        <f>TABLA_BASE[[#This Row],[IGV UNIT.
(S/.)]]*TABLA_BASE[[#This Row],[CANTIDAD
(unid.)]]</f>
        <v>0</v>
      </c>
      <c r="Y71" s="284">
        <f>TABLA_BASE[[#This Row],[PERCEP.
UNIT.(US$)
✅CF]]*'📋 Datos Generales'!$E$19</f>
        <v>0</v>
      </c>
      <c r="Z71" s="284">
        <f>TABLA_BASE[[#This Row],[PERCEP.
UNIT.(S/.)]]*TABLA_BASE[[#This Row],[CANTIDAD
(unid.)]]</f>
        <v>0</v>
      </c>
      <c r="AA71" s="282">
        <f>TABLA_BASE[[#This Row],[ADV UNIT.
(US$)
⚠️COSTO]]+TABLA_BASE[[#This Row],[IPM UNIT.
(US$)
✅CF]]+TABLA_BASE[[#This Row],[IGV UNIT.
(US$)
✅CF]]+TABLA_BASE[[#This Row],[PERCEP.
UNIT.(US$)
✅CF]]</f>
        <v>0</v>
      </c>
      <c r="AB71" s="282">
        <f>TABLA_BASE[[#This Row],[TOTAL PAGO
SUNAT
UNIT.(US$)]]*TABLA_BASE[[#This Row],[CANTIDAD
(unid.)]]</f>
        <v>0</v>
      </c>
      <c r="AC71" s="284">
        <f>TABLA_BASE[[#This Row],[TOTAL PAGO
SUNAT
UNIT.(US$)]]*'📋 Datos Generales'!$E$19</f>
        <v>0</v>
      </c>
      <c r="AD71" s="284">
        <f>TABLA_BASE[[#This Row],[TOTAL TRIB.
UNIT.(S/.)]]*TABLA_BASE[[#This Row],[CANTIDAD
(unid.)]]</f>
        <v>0</v>
      </c>
      <c r="AE71" s="282">
        <f>IF('🧾 Factura Comercial'!G73=0,0,'📦 Gastos Importación'!$E$28*(IF('🧾 Tributos Aduana'!$F$6=0,0,'🧾 Factura Comercial'!I73/'🧾 Tributos Aduana'!$F$6))/'🧾 Factura Comercial'!G73)</f>
        <v>0</v>
      </c>
      <c r="AF71" s="282">
        <f>TABLA_BASE[[#This Row],[GASTOS IMP.
UNIT.(US$)]]*TABLA_BASE[[#This Row],[CANTIDAD
(unid.)]]</f>
        <v>0</v>
      </c>
      <c r="AG71" s="284">
        <f>TABLA_BASE[[#This Row],[GASTOS IMP.
UNIT.(US$)]]*'📋 Datos Generales'!$E$19</f>
        <v>0</v>
      </c>
      <c r="AH71" s="284">
        <f>TABLA_BASE[[#This Row],[GASTOS IMP.
UNIT.(S/.)]]*TABLA_BASE[[#This Row],[CANTIDAD
(unid.)]]</f>
        <v>0</v>
      </c>
      <c r="AI71" s="283">
        <f>'🧮 Costos x Producto'!J75</f>
        <v>0</v>
      </c>
      <c r="AJ71" s="282">
        <f>'🧮 Costos x Producto'!K75</f>
        <v>0</v>
      </c>
      <c r="AK71" s="282">
        <f>IF('🧾 Factura Comercial'!G73=0,0,'🧾 Tributos Aduana'!$F$17*(IF('🧾 Tributos Aduana'!$F$6=0,0,'🧾 Factura Comercial'!I73/'🧾 Tributos Aduana'!$F$6))/'🧾 Factura Comercial'!G73)</f>
        <v>0</v>
      </c>
      <c r="AL71" s="282">
        <f>IF('🧾 Factura Comercial'!G73=0,0,'🏦 Crédito Fiscal'!$C$16*(IF('🧾 Tributos Aduana'!$F$6=0,0,'🧾 Factura Comercial'!I73/'🧾 Tributos Aduana'!$F$6))/'🧾 Factura Comercial'!G73)</f>
        <v>0</v>
      </c>
      <c r="AM71" s="284">
        <f>TABLA_BASE[[#This Row],[CF UNIT.
✅RECUP.
(US$)]]*'📋 Datos Generales'!$E$19</f>
        <v>0</v>
      </c>
      <c r="AN71" s="281">
        <f>TABLA_BASE[[#This Row],[CF UNIT.
✅RECUP.(S/.)]]*TABLA_BASE[[#This Row],[CANTIDAD
(unid.)]]</f>
        <v>0</v>
      </c>
      <c r="AO71" s="298">
        <f>'💰 Precio de Venta'!G76</f>
        <v>0</v>
      </c>
      <c r="AP71" s="284">
        <f>'💰 Precio de Venta'!H76</f>
        <v>0</v>
      </c>
      <c r="AQ71" s="284">
        <f>'💰 Precio de Venta'!I76</f>
        <v>0</v>
      </c>
      <c r="AR71" s="281">
        <f>'💰 Precio de Venta'!J76</f>
        <v>0</v>
      </c>
      <c r="AS71" s="300">
        <f>'💰 Precio de Venta'!K76</f>
        <v>0</v>
      </c>
      <c r="AT71" s="281">
        <f>TABLA_BASE[[#This Row],[GANANCIA
UNIT.(S/.)]]*'🧾 Factura Comercial'!G73</f>
        <v>0</v>
      </c>
      <c r="AU71" s="280">
        <f>IF(TABLA_BASE[[#This Row],[PRECIO VTA.
c/IGV(S/.)]]=0,0,TABLA_BASE[[#This Row],[GANANCIA
UNIT.(S/.)]]/TABLA_BASE[[#This Row],[PRECIO VTA.
c/IGV(S/.)]])</f>
        <v>0</v>
      </c>
      <c r="AV71" s="280">
        <f>IF(TABLA_BASE[[#This Row],[C/M UNIT.
(S/.)]]=0,0,TABLA_BASE[[#This Row],[GANANCIA
UNIT.(S/.)]]/TABLA_BASE[[#This Row],[C/M UNIT.
(S/.)]])</f>
        <v>0</v>
      </c>
      <c r="AW71" s="277" t="str">
        <f>IF(TABLA_BASE[[#This Row],[MARGEN
%]]&gt;=0.5,"🟢 ALTO",IF(TABLA_BASE[[#This Row],[MARGEN
%]]&gt;=0.3,"🟡 MEDIO","🔴 BAJO"))</f>
        <v>🔴 BAJO</v>
      </c>
    </row>
    <row r="72" spans="1:49" ht="16.5" hidden="1" thickTop="1" thickBot="1" x14ac:dyDescent="0.3">
      <c r="A72" s="277">
        <f>'🧾 Factura Comercial'!E74</f>
        <v>0</v>
      </c>
      <c r="B72" s="277">
        <f>'🧾 Factura Comercial'!F74</f>
        <v>0</v>
      </c>
      <c r="C72" s="278">
        <f>'🧾 Factura Comercial'!G74</f>
        <v>0</v>
      </c>
      <c r="D72" s="279">
        <f>'🧾 Factura Comercial'!H74</f>
        <v>0</v>
      </c>
      <c r="E72" s="279">
        <f>'🧾 Factura Comercial'!I74</f>
        <v>0</v>
      </c>
      <c r="F72" s="280">
        <f>IF('🧾 Tributos Aduana'!$F$6=0,0,'🧾 Factura Comercial'!I74/'🧾 Tributos Aduana'!$F$6)</f>
        <v>0</v>
      </c>
      <c r="G72" s="281">
        <f>'🧾 Factura Comercial'!H74*'📋 Datos Generales'!$E$19</f>
        <v>0</v>
      </c>
      <c r="H72" s="281">
        <f>TABLA_BASE[[#This Row],[FOB UNIT.
(S/.)]]*TABLA_BASE[[#This Row],[CANTIDAD
(unid.)]]</f>
        <v>0</v>
      </c>
      <c r="I72" s="283">
        <f>IF('🧾 Tributos Aduana'!$F$6=0,0,'🧾 Tributos Aduana'!$F$17*('🧾 Factura Comercial'!H74/'🧾 Tributos Aduana'!$F$6))</f>
        <v>0</v>
      </c>
      <c r="J72" s="283">
        <f>TABLA_BASE[[#This Row],[ADV UNIT.
(US$)
⚠️COSTO]]*TABLA_BASE[[#This Row],[CANTIDAD
(unid.)]]</f>
        <v>0</v>
      </c>
      <c r="K72" s="282">
        <f>IF('🧾 Tributos Aduana'!$F$6=0,0,'🧾 Tributos Aduana'!$F$18*('🧾 Factura Comercial'!H74/'🧾 Tributos Aduana'!$F$6))</f>
        <v>0</v>
      </c>
      <c r="L72" s="283">
        <f>TABLA_BASE[[#This Row],[IPM UNIT.
(US$)
✅CF]]*TABLA_BASE[[#This Row],[CANTIDAD
(unid.)]]</f>
        <v>0</v>
      </c>
      <c r="M72" s="282">
        <f>IF('🧾 Tributos Aduana'!$F$6=0,0,'🧾 Tributos Aduana'!$F$19*('🧾 Factura Comercial'!H74/'🧾 Tributos Aduana'!$F$6))</f>
        <v>0</v>
      </c>
      <c r="N72" s="283">
        <f>TABLA_BASE[[#This Row],[IGV UNIT.
(US$)
✅CF]]*TABLA_BASE[[#This Row],[CANTIDAD
(unid.)]]</f>
        <v>0</v>
      </c>
      <c r="O72" s="283">
        <f>IF('🧾 Tributos Aduana'!$F$6=0,0,'🧾 Tributos Aduana'!$F$23*('🧾 Factura Comercial'!H74/'🧾 Tributos Aduana'!$F$6))</f>
        <v>0</v>
      </c>
      <c r="P72" s="283">
        <f>TABLA_BASE[[#This Row],[PERCEP.
UNIT.(US$)
✅CF]]*TABLA_BASE[[#This Row],[CANTIDAD
(unid.)]]</f>
        <v>0</v>
      </c>
      <c r="Q72" s="282">
        <f>TABLA_BASE[[#This Row],[ADV UNIT.
(US$)
⚠️COSTO]]+TABLA_BASE[[#This Row],[IPM UNIT.
(US$)
✅CF]]+TABLA_BASE[[#This Row],[IGV UNIT.
(US$)
✅CF]]</f>
        <v>0</v>
      </c>
      <c r="R72" s="283">
        <f>TABLA_BASE[[#This Row],[DEUDA
ADUANERA
UNIT.]]*TABLA_BASE[[#This Row],[CANTIDAD
(unid.)]]</f>
        <v>0</v>
      </c>
      <c r="S72" s="284">
        <f>TABLA_BASE[[#This Row],[ADV UNIT.
(US$)
⚠️COSTO]]*'📋 Datos Generales'!$E$19</f>
        <v>0</v>
      </c>
      <c r="T72" s="284">
        <f>TABLA_BASE[[#This Row],[ADV UNIT.
(S/.)]]*TABLA_BASE[[#This Row],[CANTIDAD
(unid.)]]</f>
        <v>0</v>
      </c>
      <c r="U72" s="284">
        <f>TABLA_BASE[[#This Row],[IPM UNIT.
(US$)
✅CF]]*'📋 Datos Generales'!$E$19</f>
        <v>0</v>
      </c>
      <c r="V72" s="284">
        <f>TABLA_BASE[[#This Row],[IPM UNIT.
(S/.)]]*TABLA_BASE[[#This Row],[CANTIDAD
(unid.)]]</f>
        <v>0</v>
      </c>
      <c r="W72" s="284">
        <f>TABLA_BASE[[#This Row],[IGV UNIT.
(US$)
✅CF]]*'📋 Datos Generales'!$E$19</f>
        <v>0</v>
      </c>
      <c r="X72" s="284">
        <f>TABLA_BASE[[#This Row],[IGV UNIT.
(S/.)]]*TABLA_BASE[[#This Row],[CANTIDAD
(unid.)]]</f>
        <v>0</v>
      </c>
      <c r="Y72" s="284">
        <f>TABLA_BASE[[#This Row],[PERCEP.
UNIT.(US$)
✅CF]]*'📋 Datos Generales'!$E$19</f>
        <v>0</v>
      </c>
      <c r="Z72" s="284">
        <f>TABLA_BASE[[#This Row],[PERCEP.
UNIT.(S/.)]]*TABLA_BASE[[#This Row],[CANTIDAD
(unid.)]]</f>
        <v>0</v>
      </c>
      <c r="AA72" s="282">
        <f>TABLA_BASE[[#This Row],[ADV UNIT.
(US$)
⚠️COSTO]]+TABLA_BASE[[#This Row],[IPM UNIT.
(US$)
✅CF]]+TABLA_BASE[[#This Row],[IGV UNIT.
(US$)
✅CF]]+TABLA_BASE[[#This Row],[PERCEP.
UNIT.(US$)
✅CF]]</f>
        <v>0</v>
      </c>
      <c r="AB72" s="282">
        <f>TABLA_BASE[[#This Row],[TOTAL PAGO
SUNAT
UNIT.(US$)]]*TABLA_BASE[[#This Row],[CANTIDAD
(unid.)]]</f>
        <v>0</v>
      </c>
      <c r="AC72" s="284">
        <f>TABLA_BASE[[#This Row],[TOTAL PAGO
SUNAT
UNIT.(US$)]]*'📋 Datos Generales'!$E$19</f>
        <v>0</v>
      </c>
      <c r="AD72" s="284">
        <f>TABLA_BASE[[#This Row],[TOTAL TRIB.
UNIT.(S/.)]]*TABLA_BASE[[#This Row],[CANTIDAD
(unid.)]]</f>
        <v>0</v>
      </c>
      <c r="AE72" s="282">
        <f>IF('🧾 Factura Comercial'!G74=0,0,'📦 Gastos Importación'!$E$28*(IF('🧾 Tributos Aduana'!$F$6=0,0,'🧾 Factura Comercial'!I74/'🧾 Tributos Aduana'!$F$6))/'🧾 Factura Comercial'!G74)</f>
        <v>0</v>
      </c>
      <c r="AF72" s="282">
        <f>TABLA_BASE[[#This Row],[GASTOS IMP.
UNIT.(US$)]]*TABLA_BASE[[#This Row],[CANTIDAD
(unid.)]]</f>
        <v>0</v>
      </c>
      <c r="AG72" s="284">
        <f>TABLA_BASE[[#This Row],[GASTOS IMP.
UNIT.(US$)]]*'📋 Datos Generales'!$E$19</f>
        <v>0</v>
      </c>
      <c r="AH72" s="284">
        <f>TABLA_BASE[[#This Row],[GASTOS IMP.
UNIT.(S/.)]]*TABLA_BASE[[#This Row],[CANTIDAD
(unid.)]]</f>
        <v>0</v>
      </c>
      <c r="AI72" s="283">
        <f>'🧮 Costos x Producto'!J76</f>
        <v>0</v>
      </c>
      <c r="AJ72" s="282">
        <f>'🧮 Costos x Producto'!K76</f>
        <v>0</v>
      </c>
      <c r="AK72" s="282">
        <f>IF('🧾 Factura Comercial'!G74=0,0,'🧾 Tributos Aduana'!$F$17*(IF('🧾 Tributos Aduana'!$F$6=0,0,'🧾 Factura Comercial'!I74/'🧾 Tributos Aduana'!$F$6))/'🧾 Factura Comercial'!G74)</f>
        <v>0</v>
      </c>
      <c r="AL72" s="282">
        <f>IF('🧾 Factura Comercial'!G74=0,0,'🏦 Crédito Fiscal'!$C$16*(IF('🧾 Tributos Aduana'!$F$6=0,0,'🧾 Factura Comercial'!I74/'🧾 Tributos Aduana'!$F$6))/'🧾 Factura Comercial'!G74)</f>
        <v>0</v>
      </c>
      <c r="AM72" s="284">
        <f>TABLA_BASE[[#This Row],[CF UNIT.
✅RECUP.
(US$)]]*'📋 Datos Generales'!$E$19</f>
        <v>0</v>
      </c>
      <c r="AN72" s="281">
        <f>TABLA_BASE[[#This Row],[CF UNIT.
✅RECUP.(S/.)]]*TABLA_BASE[[#This Row],[CANTIDAD
(unid.)]]</f>
        <v>0</v>
      </c>
      <c r="AO72" s="298">
        <f>'💰 Precio de Venta'!G77</f>
        <v>0</v>
      </c>
      <c r="AP72" s="284">
        <f>'💰 Precio de Venta'!H77</f>
        <v>0</v>
      </c>
      <c r="AQ72" s="284">
        <f>'💰 Precio de Venta'!I77</f>
        <v>0</v>
      </c>
      <c r="AR72" s="281">
        <f>'💰 Precio de Venta'!J77</f>
        <v>0</v>
      </c>
      <c r="AS72" s="300">
        <f>'💰 Precio de Venta'!K77</f>
        <v>0</v>
      </c>
      <c r="AT72" s="281">
        <f>TABLA_BASE[[#This Row],[GANANCIA
UNIT.(S/.)]]*'🧾 Factura Comercial'!G74</f>
        <v>0</v>
      </c>
      <c r="AU72" s="280">
        <f>IF(TABLA_BASE[[#This Row],[PRECIO VTA.
c/IGV(S/.)]]=0,0,TABLA_BASE[[#This Row],[GANANCIA
UNIT.(S/.)]]/TABLA_BASE[[#This Row],[PRECIO VTA.
c/IGV(S/.)]])</f>
        <v>0</v>
      </c>
      <c r="AV72" s="280">
        <f>IF(TABLA_BASE[[#This Row],[C/M UNIT.
(S/.)]]=0,0,TABLA_BASE[[#This Row],[GANANCIA
UNIT.(S/.)]]/TABLA_BASE[[#This Row],[C/M UNIT.
(S/.)]])</f>
        <v>0</v>
      </c>
      <c r="AW72" s="277" t="str">
        <f>IF(TABLA_BASE[[#This Row],[MARGEN
%]]&gt;=0.5,"🟢 ALTO",IF(TABLA_BASE[[#This Row],[MARGEN
%]]&gt;=0.3,"🟡 MEDIO","🔴 BAJO"))</f>
        <v>🔴 BAJO</v>
      </c>
    </row>
    <row r="73" spans="1:49" ht="16.5" hidden="1" thickTop="1" thickBot="1" x14ac:dyDescent="0.3">
      <c r="A73" s="277">
        <f>'🧾 Factura Comercial'!E75</f>
        <v>0</v>
      </c>
      <c r="B73" s="277">
        <f>'🧾 Factura Comercial'!F75</f>
        <v>0</v>
      </c>
      <c r="C73" s="278">
        <f>'🧾 Factura Comercial'!G75</f>
        <v>0</v>
      </c>
      <c r="D73" s="279">
        <f>'🧾 Factura Comercial'!H75</f>
        <v>0</v>
      </c>
      <c r="E73" s="279">
        <f>'🧾 Factura Comercial'!I75</f>
        <v>0</v>
      </c>
      <c r="F73" s="280">
        <f>IF('🧾 Tributos Aduana'!$F$6=0,0,'🧾 Factura Comercial'!I75/'🧾 Tributos Aduana'!$F$6)</f>
        <v>0</v>
      </c>
      <c r="G73" s="281">
        <f>'🧾 Factura Comercial'!H75*'📋 Datos Generales'!$E$19</f>
        <v>0</v>
      </c>
      <c r="H73" s="281">
        <f>TABLA_BASE[[#This Row],[FOB UNIT.
(S/.)]]*TABLA_BASE[[#This Row],[CANTIDAD
(unid.)]]</f>
        <v>0</v>
      </c>
      <c r="I73" s="283">
        <f>IF('🧾 Tributos Aduana'!$F$6=0,0,'🧾 Tributos Aduana'!$F$17*('🧾 Factura Comercial'!H75/'🧾 Tributos Aduana'!$F$6))</f>
        <v>0</v>
      </c>
      <c r="J73" s="283">
        <f>TABLA_BASE[[#This Row],[ADV UNIT.
(US$)
⚠️COSTO]]*TABLA_BASE[[#This Row],[CANTIDAD
(unid.)]]</f>
        <v>0</v>
      </c>
      <c r="K73" s="282">
        <f>IF('🧾 Tributos Aduana'!$F$6=0,0,'🧾 Tributos Aduana'!$F$18*('🧾 Factura Comercial'!H75/'🧾 Tributos Aduana'!$F$6))</f>
        <v>0</v>
      </c>
      <c r="L73" s="283">
        <f>TABLA_BASE[[#This Row],[IPM UNIT.
(US$)
✅CF]]*TABLA_BASE[[#This Row],[CANTIDAD
(unid.)]]</f>
        <v>0</v>
      </c>
      <c r="M73" s="282">
        <f>IF('🧾 Tributos Aduana'!$F$6=0,0,'🧾 Tributos Aduana'!$F$19*('🧾 Factura Comercial'!H75/'🧾 Tributos Aduana'!$F$6))</f>
        <v>0</v>
      </c>
      <c r="N73" s="283">
        <f>TABLA_BASE[[#This Row],[IGV UNIT.
(US$)
✅CF]]*TABLA_BASE[[#This Row],[CANTIDAD
(unid.)]]</f>
        <v>0</v>
      </c>
      <c r="O73" s="283">
        <f>IF('🧾 Tributos Aduana'!$F$6=0,0,'🧾 Tributos Aduana'!$F$23*('🧾 Factura Comercial'!H75/'🧾 Tributos Aduana'!$F$6))</f>
        <v>0</v>
      </c>
      <c r="P73" s="283">
        <f>TABLA_BASE[[#This Row],[PERCEP.
UNIT.(US$)
✅CF]]*TABLA_BASE[[#This Row],[CANTIDAD
(unid.)]]</f>
        <v>0</v>
      </c>
      <c r="Q73" s="282">
        <f>TABLA_BASE[[#This Row],[ADV UNIT.
(US$)
⚠️COSTO]]+TABLA_BASE[[#This Row],[IPM UNIT.
(US$)
✅CF]]+TABLA_BASE[[#This Row],[IGV UNIT.
(US$)
✅CF]]</f>
        <v>0</v>
      </c>
      <c r="R73" s="283">
        <f>TABLA_BASE[[#This Row],[DEUDA
ADUANERA
UNIT.]]*TABLA_BASE[[#This Row],[CANTIDAD
(unid.)]]</f>
        <v>0</v>
      </c>
      <c r="S73" s="284">
        <f>TABLA_BASE[[#This Row],[ADV UNIT.
(US$)
⚠️COSTO]]*'📋 Datos Generales'!$E$19</f>
        <v>0</v>
      </c>
      <c r="T73" s="284">
        <f>TABLA_BASE[[#This Row],[ADV UNIT.
(S/.)]]*TABLA_BASE[[#This Row],[CANTIDAD
(unid.)]]</f>
        <v>0</v>
      </c>
      <c r="U73" s="284">
        <f>TABLA_BASE[[#This Row],[IPM UNIT.
(US$)
✅CF]]*'📋 Datos Generales'!$E$19</f>
        <v>0</v>
      </c>
      <c r="V73" s="284">
        <f>TABLA_BASE[[#This Row],[IPM UNIT.
(S/.)]]*TABLA_BASE[[#This Row],[CANTIDAD
(unid.)]]</f>
        <v>0</v>
      </c>
      <c r="W73" s="284">
        <f>TABLA_BASE[[#This Row],[IGV UNIT.
(US$)
✅CF]]*'📋 Datos Generales'!$E$19</f>
        <v>0</v>
      </c>
      <c r="X73" s="284">
        <f>TABLA_BASE[[#This Row],[IGV UNIT.
(S/.)]]*TABLA_BASE[[#This Row],[CANTIDAD
(unid.)]]</f>
        <v>0</v>
      </c>
      <c r="Y73" s="284">
        <f>TABLA_BASE[[#This Row],[PERCEP.
UNIT.(US$)
✅CF]]*'📋 Datos Generales'!$E$19</f>
        <v>0</v>
      </c>
      <c r="Z73" s="284">
        <f>TABLA_BASE[[#This Row],[PERCEP.
UNIT.(S/.)]]*TABLA_BASE[[#This Row],[CANTIDAD
(unid.)]]</f>
        <v>0</v>
      </c>
      <c r="AA73" s="282">
        <f>TABLA_BASE[[#This Row],[ADV UNIT.
(US$)
⚠️COSTO]]+TABLA_BASE[[#This Row],[IPM UNIT.
(US$)
✅CF]]+TABLA_BASE[[#This Row],[IGV UNIT.
(US$)
✅CF]]+TABLA_BASE[[#This Row],[PERCEP.
UNIT.(US$)
✅CF]]</f>
        <v>0</v>
      </c>
      <c r="AB73" s="282">
        <f>TABLA_BASE[[#This Row],[TOTAL PAGO
SUNAT
UNIT.(US$)]]*TABLA_BASE[[#This Row],[CANTIDAD
(unid.)]]</f>
        <v>0</v>
      </c>
      <c r="AC73" s="284">
        <f>TABLA_BASE[[#This Row],[TOTAL PAGO
SUNAT
UNIT.(US$)]]*'📋 Datos Generales'!$E$19</f>
        <v>0</v>
      </c>
      <c r="AD73" s="284">
        <f>TABLA_BASE[[#This Row],[TOTAL TRIB.
UNIT.(S/.)]]*TABLA_BASE[[#This Row],[CANTIDAD
(unid.)]]</f>
        <v>0</v>
      </c>
      <c r="AE73" s="282">
        <f>IF('🧾 Factura Comercial'!G75=0,0,'📦 Gastos Importación'!$E$28*(IF('🧾 Tributos Aduana'!$F$6=0,0,'🧾 Factura Comercial'!I75/'🧾 Tributos Aduana'!$F$6))/'🧾 Factura Comercial'!G75)</f>
        <v>0</v>
      </c>
      <c r="AF73" s="282">
        <f>TABLA_BASE[[#This Row],[GASTOS IMP.
UNIT.(US$)]]*TABLA_BASE[[#This Row],[CANTIDAD
(unid.)]]</f>
        <v>0</v>
      </c>
      <c r="AG73" s="284">
        <f>TABLA_BASE[[#This Row],[GASTOS IMP.
UNIT.(US$)]]*'📋 Datos Generales'!$E$19</f>
        <v>0</v>
      </c>
      <c r="AH73" s="284">
        <f>TABLA_BASE[[#This Row],[GASTOS IMP.
UNIT.(S/.)]]*TABLA_BASE[[#This Row],[CANTIDAD
(unid.)]]</f>
        <v>0</v>
      </c>
      <c r="AI73" s="283">
        <f>'🧮 Costos x Producto'!J77</f>
        <v>0</v>
      </c>
      <c r="AJ73" s="282">
        <f>'🧮 Costos x Producto'!K77</f>
        <v>0</v>
      </c>
      <c r="AK73" s="282">
        <f>IF('🧾 Factura Comercial'!G75=0,0,'🧾 Tributos Aduana'!$F$17*(IF('🧾 Tributos Aduana'!$F$6=0,0,'🧾 Factura Comercial'!I75/'🧾 Tributos Aduana'!$F$6))/'🧾 Factura Comercial'!G75)</f>
        <v>0</v>
      </c>
      <c r="AL73" s="282">
        <f>IF('🧾 Factura Comercial'!G75=0,0,'🏦 Crédito Fiscal'!$C$16*(IF('🧾 Tributos Aduana'!$F$6=0,0,'🧾 Factura Comercial'!I75/'🧾 Tributos Aduana'!$F$6))/'🧾 Factura Comercial'!G75)</f>
        <v>0</v>
      </c>
      <c r="AM73" s="284">
        <f>TABLA_BASE[[#This Row],[CF UNIT.
✅RECUP.
(US$)]]*'📋 Datos Generales'!$E$19</f>
        <v>0</v>
      </c>
      <c r="AN73" s="281">
        <f>TABLA_BASE[[#This Row],[CF UNIT.
✅RECUP.(S/.)]]*TABLA_BASE[[#This Row],[CANTIDAD
(unid.)]]</f>
        <v>0</v>
      </c>
      <c r="AO73" s="298">
        <f>'💰 Precio de Venta'!G78</f>
        <v>0</v>
      </c>
      <c r="AP73" s="284">
        <f>'💰 Precio de Venta'!H78</f>
        <v>0</v>
      </c>
      <c r="AQ73" s="284">
        <f>'💰 Precio de Venta'!I78</f>
        <v>0</v>
      </c>
      <c r="AR73" s="281">
        <f>'💰 Precio de Venta'!J78</f>
        <v>0</v>
      </c>
      <c r="AS73" s="300">
        <f>'💰 Precio de Venta'!K78</f>
        <v>0</v>
      </c>
      <c r="AT73" s="281">
        <f>TABLA_BASE[[#This Row],[GANANCIA
UNIT.(S/.)]]*'🧾 Factura Comercial'!G75</f>
        <v>0</v>
      </c>
      <c r="AU73" s="280">
        <f>IF(TABLA_BASE[[#This Row],[PRECIO VTA.
c/IGV(S/.)]]=0,0,TABLA_BASE[[#This Row],[GANANCIA
UNIT.(S/.)]]/TABLA_BASE[[#This Row],[PRECIO VTA.
c/IGV(S/.)]])</f>
        <v>0</v>
      </c>
      <c r="AV73" s="280">
        <f>IF(TABLA_BASE[[#This Row],[C/M UNIT.
(S/.)]]=0,0,TABLA_BASE[[#This Row],[GANANCIA
UNIT.(S/.)]]/TABLA_BASE[[#This Row],[C/M UNIT.
(S/.)]])</f>
        <v>0</v>
      </c>
      <c r="AW73" s="277" t="str">
        <f>IF(TABLA_BASE[[#This Row],[MARGEN
%]]&gt;=0.5,"🟢 ALTO",IF(TABLA_BASE[[#This Row],[MARGEN
%]]&gt;=0.3,"🟡 MEDIO","🔴 BAJO"))</f>
        <v>🔴 BAJO</v>
      </c>
    </row>
    <row r="74" spans="1:49" ht="16.5" hidden="1" thickTop="1" thickBot="1" x14ac:dyDescent="0.3">
      <c r="A74" s="277">
        <f>'🧾 Factura Comercial'!E76</f>
        <v>0</v>
      </c>
      <c r="B74" s="277">
        <f>'🧾 Factura Comercial'!F76</f>
        <v>0</v>
      </c>
      <c r="C74" s="278">
        <f>'🧾 Factura Comercial'!G76</f>
        <v>0</v>
      </c>
      <c r="D74" s="279">
        <f>'🧾 Factura Comercial'!H76</f>
        <v>0</v>
      </c>
      <c r="E74" s="279">
        <f>'🧾 Factura Comercial'!I76</f>
        <v>0</v>
      </c>
      <c r="F74" s="280">
        <f>IF('🧾 Tributos Aduana'!$F$6=0,0,'🧾 Factura Comercial'!I76/'🧾 Tributos Aduana'!$F$6)</f>
        <v>0</v>
      </c>
      <c r="G74" s="281">
        <f>'🧾 Factura Comercial'!H76*'📋 Datos Generales'!$E$19</f>
        <v>0</v>
      </c>
      <c r="H74" s="281">
        <f>TABLA_BASE[[#This Row],[FOB UNIT.
(S/.)]]*TABLA_BASE[[#This Row],[CANTIDAD
(unid.)]]</f>
        <v>0</v>
      </c>
      <c r="I74" s="283">
        <f>IF('🧾 Tributos Aduana'!$F$6=0,0,'🧾 Tributos Aduana'!$F$17*('🧾 Factura Comercial'!H76/'🧾 Tributos Aduana'!$F$6))</f>
        <v>0</v>
      </c>
      <c r="J74" s="283">
        <f>TABLA_BASE[[#This Row],[ADV UNIT.
(US$)
⚠️COSTO]]*TABLA_BASE[[#This Row],[CANTIDAD
(unid.)]]</f>
        <v>0</v>
      </c>
      <c r="K74" s="282">
        <f>IF('🧾 Tributos Aduana'!$F$6=0,0,'🧾 Tributos Aduana'!$F$18*('🧾 Factura Comercial'!H76/'🧾 Tributos Aduana'!$F$6))</f>
        <v>0</v>
      </c>
      <c r="L74" s="283">
        <f>TABLA_BASE[[#This Row],[IPM UNIT.
(US$)
✅CF]]*TABLA_BASE[[#This Row],[CANTIDAD
(unid.)]]</f>
        <v>0</v>
      </c>
      <c r="M74" s="282">
        <f>IF('🧾 Tributos Aduana'!$F$6=0,0,'🧾 Tributos Aduana'!$F$19*('🧾 Factura Comercial'!H76/'🧾 Tributos Aduana'!$F$6))</f>
        <v>0</v>
      </c>
      <c r="N74" s="283">
        <f>TABLA_BASE[[#This Row],[IGV UNIT.
(US$)
✅CF]]*TABLA_BASE[[#This Row],[CANTIDAD
(unid.)]]</f>
        <v>0</v>
      </c>
      <c r="O74" s="283">
        <f>IF('🧾 Tributos Aduana'!$F$6=0,0,'🧾 Tributos Aduana'!$F$23*('🧾 Factura Comercial'!H76/'🧾 Tributos Aduana'!$F$6))</f>
        <v>0</v>
      </c>
      <c r="P74" s="283">
        <f>TABLA_BASE[[#This Row],[PERCEP.
UNIT.(US$)
✅CF]]*TABLA_BASE[[#This Row],[CANTIDAD
(unid.)]]</f>
        <v>0</v>
      </c>
      <c r="Q74" s="282">
        <f>TABLA_BASE[[#This Row],[ADV UNIT.
(US$)
⚠️COSTO]]+TABLA_BASE[[#This Row],[IPM UNIT.
(US$)
✅CF]]+TABLA_BASE[[#This Row],[IGV UNIT.
(US$)
✅CF]]</f>
        <v>0</v>
      </c>
      <c r="R74" s="283">
        <f>TABLA_BASE[[#This Row],[DEUDA
ADUANERA
UNIT.]]*TABLA_BASE[[#This Row],[CANTIDAD
(unid.)]]</f>
        <v>0</v>
      </c>
      <c r="S74" s="284">
        <f>TABLA_BASE[[#This Row],[ADV UNIT.
(US$)
⚠️COSTO]]*'📋 Datos Generales'!$E$19</f>
        <v>0</v>
      </c>
      <c r="T74" s="284">
        <f>TABLA_BASE[[#This Row],[ADV UNIT.
(S/.)]]*TABLA_BASE[[#This Row],[CANTIDAD
(unid.)]]</f>
        <v>0</v>
      </c>
      <c r="U74" s="284">
        <f>TABLA_BASE[[#This Row],[IPM UNIT.
(US$)
✅CF]]*'📋 Datos Generales'!$E$19</f>
        <v>0</v>
      </c>
      <c r="V74" s="284">
        <f>TABLA_BASE[[#This Row],[IPM UNIT.
(S/.)]]*TABLA_BASE[[#This Row],[CANTIDAD
(unid.)]]</f>
        <v>0</v>
      </c>
      <c r="W74" s="284">
        <f>TABLA_BASE[[#This Row],[IGV UNIT.
(US$)
✅CF]]*'📋 Datos Generales'!$E$19</f>
        <v>0</v>
      </c>
      <c r="X74" s="284">
        <f>TABLA_BASE[[#This Row],[IGV UNIT.
(S/.)]]*TABLA_BASE[[#This Row],[CANTIDAD
(unid.)]]</f>
        <v>0</v>
      </c>
      <c r="Y74" s="284">
        <f>TABLA_BASE[[#This Row],[PERCEP.
UNIT.(US$)
✅CF]]*'📋 Datos Generales'!$E$19</f>
        <v>0</v>
      </c>
      <c r="Z74" s="284">
        <f>TABLA_BASE[[#This Row],[PERCEP.
UNIT.(S/.)]]*TABLA_BASE[[#This Row],[CANTIDAD
(unid.)]]</f>
        <v>0</v>
      </c>
      <c r="AA74" s="282">
        <f>TABLA_BASE[[#This Row],[ADV UNIT.
(US$)
⚠️COSTO]]+TABLA_BASE[[#This Row],[IPM UNIT.
(US$)
✅CF]]+TABLA_BASE[[#This Row],[IGV UNIT.
(US$)
✅CF]]+TABLA_BASE[[#This Row],[PERCEP.
UNIT.(US$)
✅CF]]</f>
        <v>0</v>
      </c>
      <c r="AB74" s="282">
        <f>TABLA_BASE[[#This Row],[TOTAL PAGO
SUNAT
UNIT.(US$)]]*TABLA_BASE[[#This Row],[CANTIDAD
(unid.)]]</f>
        <v>0</v>
      </c>
      <c r="AC74" s="284">
        <f>TABLA_BASE[[#This Row],[TOTAL PAGO
SUNAT
UNIT.(US$)]]*'📋 Datos Generales'!$E$19</f>
        <v>0</v>
      </c>
      <c r="AD74" s="284">
        <f>TABLA_BASE[[#This Row],[TOTAL TRIB.
UNIT.(S/.)]]*TABLA_BASE[[#This Row],[CANTIDAD
(unid.)]]</f>
        <v>0</v>
      </c>
      <c r="AE74" s="282">
        <f>IF('🧾 Factura Comercial'!G76=0,0,'📦 Gastos Importación'!$E$28*(IF('🧾 Tributos Aduana'!$F$6=0,0,'🧾 Factura Comercial'!I76/'🧾 Tributos Aduana'!$F$6))/'🧾 Factura Comercial'!G76)</f>
        <v>0</v>
      </c>
      <c r="AF74" s="282">
        <f>TABLA_BASE[[#This Row],[GASTOS IMP.
UNIT.(US$)]]*TABLA_BASE[[#This Row],[CANTIDAD
(unid.)]]</f>
        <v>0</v>
      </c>
      <c r="AG74" s="284">
        <f>TABLA_BASE[[#This Row],[GASTOS IMP.
UNIT.(US$)]]*'📋 Datos Generales'!$E$19</f>
        <v>0</v>
      </c>
      <c r="AH74" s="284">
        <f>TABLA_BASE[[#This Row],[GASTOS IMP.
UNIT.(S/.)]]*TABLA_BASE[[#This Row],[CANTIDAD
(unid.)]]</f>
        <v>0</v>
      </c>
      <c r="AI74" s="283">
        <f>'🧮 Costos x Producto'!J78</f>
        <v>0</v>
      </c>
      <c r="AJ74" s="282">
        <f>'🧮 Costos x Producto'!K78</f>
        <v>0</v>
      </c>
      <c r="AK74" s="282">
        <f>IF('🧾 Factura Comercial'!G76=0,0,'🧾 Tributos Aduana'!$F$17*(IF('🧾 Tributos Aduana'!$F$6=0,0,'🧾 Factura Comercial'!I76/'🧾 Tributos Aduana'!$F$6))/'🧾 Factura Comercial'!G76)</f>
        <v>0</v>
      </c>
      <c r="AL74" s="282">
        <f>IF('🧾 Factura Comercial'!G76=0,0,'🏦 Crédito Fiscal'!$C$16*(IF('🧾 Tributos Aduana'!$F$6=0,0,'🧾 Factura Comercial'!I76/'🧾 Tributos Aduana'!$F$6))/'🧾 Factura Comercial'!G76)</f>
        <v>0</v>
      </c>
      <c r="AM74" s="284">
        <f>TABLA_BASE[[#This Row],[CF UNIT.
✅RECUP.
(US$)]]*'📋 Datos Generales'!$E$19</f>
        <v>0</v>
      </c>
      <c r="AN74" s="281">
        <f>TABLA_BASE[[#This Row],[CF UNIT.
✅RECUP.(S/.)]]*TABLA_BASE[[#This Row],[CANTIDAD
(unid.)]]</f>
        <v>0</v>
      </c>
      <c r="AO74" s="298">
        <f>'💰 Precio de Venta'!G79</f>
        <v>0</v>
      </c>
      <c r="AP74" s="284">
        <f>'💰 Precio de Venta'!H79</f>
        <v>0</v>
      </c>
      <c r="AQ74" s="284">
        <f>'💰 Precio de Venta'!I79</f>
        <v>0</v>
      </c>
      <c r="AR74" s="281">
        <f>'💰 Precio de Venta'!J79</f>
        <v>0</v>
      </c>
      <c r="AS74" s="300">
        <f>'💰 Precio de Venta'!K79</f>
        <v>0</v>
      </c>
      <c r="AT74" s="281">
        <f>TABLA_BASE[[#This Row],[GANANCIA
UNIT.(S/.)]]*'🧾 Factura Comercial'!G76</f>
        <v>0</v>
      </c>
      <c r="AU74" s="280">
        <f>IF(TABLA_BASE[[#This Row],[PRECIO VTA.
c/IGV(S/.)]]=0,0,TABLA_BASE[[#This Row],[GANANCIA
UNIT.(S/.)]]/TABLA_BASE[[#This Row],[PRECIO VTA.
c/IGV(S/.)]])</f>
        <v>0</v>
      </c>
      <c r="AV74" s="280">
        <f>IF(TABLA_BASE[[#This Row],[C/M UNIT.
(S/.)]]=0,0,TABLA_BASE[[#This Row],[GANANCIA
UNIT.(S/.)]]/TABLA_BASE[[#This Row],[C/M UNIT.
(S/.)]])</f>
        <v>0</v>
      </c>
      <c r="AW74" s="277" t="str">
        <f>IF(TABLA_BASE[[#This Row],[MARGEN
%]]&gt;=0.5,"🟢 ALTO",IF(TABLA_BASE[[#This Row],[MARGEN
%]]&gt;=0.3,"🟡 MEDIO","🔴 BAJO"))</f>
        <v>🔴 BAJO</v>
      </c>
    </row>
    <row r="75" spans="1:49" ht="16.5" hidden="1" thickTop="1" thickBot="1" x14ac:dyDescent="0.3">
      <c r="A75" s="277">
        <f>'🧾 Factura Comercial'!E77</f>
        <v>0</v>
      </c>
      <c r="B75" s="277">
        <f>'🧾 Factura Comercial'!F77</f>
        <v>0</v>
      </c>
      <c r="C75" s="278">
        <f>'🧾 Factura Comercial'!G77</f>
        <v>0</v>
      </c>
      <c r="D75" s="279">
        <f>'🧾 Factura Comercial'!H77</f>
        <v>0</v>
      </c>
      <c r="E75" s="279">
        <f>'🧾 Factura Comercial'!I77</f>
        <v>0</v>
      </c>
      <c r="F75" s="280">
        <f>IF('🧾 Tributos Aduana'!$F$6=0,0,'🧾 Factura Comercial'!I77/'🧾 Tributos Aduana'!$F$6)</f>
        <v>0</v>
      </c>
      <c r="G75" s="281">
        <f>'🧾 Factura Comercial'!H77*'📋 Datos Generales'!$E$19</f>
        <v>0</v>
      </c>
      <c r="H75" s="281">
        <f>TABLA_BASE[[#This Row],[FOB UNIT.
(S/.)]]*TABLA_BASE[[#This Row],[CANTIDAD
(unid.)]]</f>
        <v>0</v>
      </c>
      <c r="I75" s="283">
        <f>IF('🧾 Tributos Aduana'!$F$6=0,0,'🧾 Tributos Aduana'!$F$17*('🧾 Factura Comercial'!H77/'🧾 Tributos Aduana'!$F$6))</f>
        <v>0</v>
      </c>
      <c r="J75" s="283">
        <f>TABLA_BASE[[#This Row],[ADV UNIT.
(US$)
⚠️COSTO]]*TABLA_BASE[[#This Row],[CANTIDAD
(unid.)]]</f>
        <v>0</v>
      </c>
      <c r="K75" s="282">
        <f>IF('🧾 Tributos Aduana'!$F$6=0,0,'🧾 Tributos Aduana'!$F$18*('🧾 Factura Comercial'!H77/'🧾 Tributos Aduana'!$F$6))</f>
        <v>0</v>
      </c>
      <c r="L75" s="283">
        <f>TABLA_BASE[[#This Row],[IPM UNIT.
(US$)
✅CF]]*TABLA_BASE[[#This Row],[CANTIDAD
(unid.)]]</f>
        <v>0</v>
      </c>
      <c r="M75" s="282">
        <f>IF('🧾 Tributos Aduana'!$F$6=0,0,'🧾 Tributos Aduana'!$F$19*('🧾 Factura Comercial'!H77/'🧾 Tributos Aduana'!$F$6))</f>
        <v>0</v>
      </c>
      <c r="N75" s="283">
        <f>TABLA_BASE[[#This Row],[IGV UNIT.
(US$)
✅CF]]*TABLA_BASE[[#This Row],[CANTIDAD
(unid.)]]</f>
        <v>0</v>
      </c>
      <c r="O75" s="283">
        <f>IF('🧾 Tributos Aduana'!$F$6=0,0,'🧾 Tributos Aduana'!$F$23*('🧾 Factura Comercial'!H77/'🧾 Tributos Aduana'!$F$6))</f>
        <v>0</v>
      </c>
      <c r="P75" s="283">
        <f>TABLA_BASE[[#This Row],[PERCEP.
UNIT.(US$)
✅CF]]*TABLA_BASE[[#This Row],[CANTIDAD
(unid.)]]</f>
        <v>0</v>
      </c>
      <c r="Q75" s="282">
        <f>TABLA_BASE[[#This Row],[ADV UNIT.
(US$)
⚠️COSTO]]+TABLA_BASE[[#This Row],[IPM UNIT.
(US$)
✅CF]]+TABLA_BASE[[#This Row],[IGV UNIT.
(US$)
✅CF]]</f>
        <v>0</v>
      </c>
      <c r="R75" s="283">
        <f>TABLA_BASE[[#This Row],[DEUDA
ADUANERA
UNIT.]]*TABLA_BASE[[#This Row],[CANTIDAD
(unid.)]]</f>
        <v>0</v>
      </c>
      <c r="S75" s="284">
        <f>TABLA_BASE[[#This Row],[ADV UNIT.
(US$)
⚠️COSTO]]*'📋 Datos Generales'!$E$19</f>
        <v>0</v>
      </c>
      <c r="T75" s="284">
        <f>TABLA_BASE[[#This Row],[ADV UNIT.
(S/.)]]*TABLA_BASE[[#This Row],[CANTIDAD
(unid.)]]</f>
        <v>0</v>
      </c>
      <c r="U75" s="284">
        <f>TABLA_BASE[[#This Row],[IPM UNIT.
(US$)
✅CF]]*'📋 Datos Generales'!$E$19</f>
        <v>0</v>
      </c>
      <c r="V75" s="284">
        <f>TABLA_BASE[[#This Row],[IPM UNIT.
(S/.)]]*TABLA_BASE[[#This Row],[CANTIDAD
(unid.)]]</f>
        <v>0</v>
      </c>
      <c r="W75" s="284">
        <f>TABLA_BASE[[#This Row],[IGV UNIT.
(US$)
✅CF]]*'📋 Datos Generales'!$E$19</f>
        <v>0</v>
      </c>
      <c r="X75" s="284">
        <f>TABLA_BASE[[#This Row],[IGV UNIT.
(S/.)]]*TABLA_BASE[[#This Row],[CANTIDAD
(unid.)]]</f>
        <v>0</v>
      </c>
      <c r="Y75" s="284">
        <f>TABLA_BASE[[#This Row],[PERCEP.
UNIT.(US$)
✅CF]]*'📋 Datos Generales'!$E$19</f>
        <v>0</v>
      </c>
      <c r="Z75" s="284">
        <f>TABLA_BASE[[#This Row],[PERCEP.
UNIT.(S/.)]]*TABLA_BASE[[#This Row],[CANTIDAD
(unid.)]]</f>
        <v>0</v>
      </c>
      <c r="AA75" s="282">
        <f>TABLA_BASE[[#This Row],[ADV UNIT.
(US$)
⚠️COSTO]]+TABLA_BASE[[#This Row],[IPM UNIT.
(US$)
✅CF]]+TABLA_BASE[[#This Row],[IGV UNIT.
(US$)
✅CF]]+TABLA_BASE[[#This Row],[PERCEP.
UNIT.(US$)
✅CF]]</f>
        <v>0</v>
      </c>
      <c r="AB75" s="282">
        <f>TABLA_BASE[[#This Row],[TOTAL PAGO
SUNAT
UNIT.(US$)]]*TABLA_BASE[[#This Row],[CANTIDAD
(unid.)]]</f>
        <v>0</v>
      </c>
      <c r="AC75" s="284">
        <f>TABLA_BASE[[#This Row],[TOTAL PAGO
SUNAT
UNIT.(US$)]]*'📋 Datos Generales'!$E$19</f>
        <v>0</v>
      </c>
      <c r="AD75" s="284">
        <f>TABLA_BASE[[#This Row],[TOTAL TRIB.
UNIT.(S/.)]]*TABLA_BASE[[#This Row],[CANTIDAD
(unid.)]]</f>
        <v>0</v>
      </c>
      <c r="AE75" s="282">
        <f>IF('🧾 Factura Comercial'!G77=0,0,'📦 Gastos Importación'!$E$28*(IF('🧾 Tributos Aduana'!$F$6=0,0,'🧾 Factura Comercial'!I77/'🧾 Tributos Aduana'!$F$6))/'🧾 Factura Comercial'!G77)</f>
        <v>0</v>
      </c>
      <c r="AF75" s="282">
        <f>TABLA_BASE[[#This Row],[GASTOS IMP.
UNIT.(US$)]]*TABLA_BASE[[#This Row],[CANTIDAD
(unid.)]]</f>
        <v>0</v>
      </c>
      <c r="AG75" s="284">
        <f>TABLA_BASE[[#This Row],[GASTOS IMP.
UNIT.(US$)]]*'📋 Datos Generales'!$E$19</f>
        <v>0</v>
      </c>
      <c r="AH75" s="284">
        <f>TABLA_BASE[[#This Row],[GASTOS IMP.
UNIT.(S/.)]]*TABLA_BASE[[#This Row],[CANTIDAD
(unid.)]]</f>
        <v>0</v>
      </c>
      <c r="AI75" s="283">
        <f>'🧮 Costos x Producto'!J79</f>
        <v>0</v>
      </c>
      <c r="AJ75" s="282">
        <f>'🧮 Costos x Producto'!K79</f>
        <v>0</v>
      </c>
      <c r="AK75" s="282">
        <f>IF('🧾 Factura Comercial'!G77=0,0,'🧾 Tributos Aduana'!$F$17*(IF('🧾 Tributos Aduana'!$F$6=0,0,'🧾 Factura Comercial'!I77/'🧾 Tributos Aduana'!$F$6))/'🧾 Factura Comercial'!G77)</f>
        <v>0</v>
      </c>
      <c r="AL75" s="282">
        <f>IF('🧾 Factura Comercial'!G77=0,0,'🏦 Crédito Fiscal'!$C$16*(IF('🧾 Tributos Aduana'!$F$6=0,0,'🧾 Factura Comercial'!I77/'🧾 Tributos Aduana'!$F$6))/'🧾 Factura Comercial'!G77)</f>
        <v>0</v>
      </c>
      <c r="AM75" s="284">
        <f>TABLA_BASE[[#This Row],[CF UNIT.
✅RECUP.
(US$)]]*'📋 Datos Generales'!$E$19</f>
        <v>0</v>
      </c>
      <c r="AN75" s="281">
        <f>TABLA_BASE[[#This Row],[CF UNIT.
✅RECUP.(S/.)]]*TABLA_BASE[[#This Row],[CANTIDAD
(unid.)]]</f>
        <v>0</v>
      </c>
      <c r="AO75" s="298">
        <f>'💰 Precio de Venta'!G80</f>
        <v>0</v>
      </c>
      <c r="AP75" s="284">
        <f>'💰 Precio de Venta'!H80</f>
        <v>0</v>
      </c>
      <c r="AQ75" s="284">
        <f>'💰 Precio de Venta'!I80</f>
        <v>0</v>
      </c>
      <c r="AR75" s="281">
        <f>'💰 Precio de Venta'!J80</f>
        <v>0</v>
      </c>
      <c r="AS75" s="300">
        <f>'💰 Precio de Venta'!K80</f>
        <v>0</v>
      </c>
      <c r="AT75" s="281">
        <f>TABLA_BASE[[#This Row],[GANANCIA
UNIT.(S/.)]]*'🧾 Factura Comercial'!G77</f>
        <v>0</v>
      </c>
      <c r="AU75" s="280">
        <f>IF(TABLA_BASE[[#This Row],[PRECIO VTA.
c/IGV(S/.)]]=0,0,TABLA_BASE[[#This Row],[GANANCIA
UNIT.(S/.)]]/TABLA_BASE[[#This Row],[PRECIO VTA.
c/IGV(S/.)]])</f>
        <v>0</v>
      </c>
      <c r="AV75" s="280">
        <f>IF(TABLA_BASE[[#This Row],[C/M UNIT.
(S/.)]]=0,0,TABLA_BASE[[#This Row],[GANANCIA
UNIT.(S/.)]]/TABLA_BASE[[#This Row],[C/M UNIT.
(S/.)]])</f>
        <v>0</v>
      </c>
      <c r="AW75" s="277" t="str">
        <f>IF(TABLA_BASE[[#This Row],[MARGEN
%]]&gt;=0.5,"🟢 ALTO",IF(TABLA_BASE[[#This Row],[MARGEN
%]]&gt;=0.3,"🟡 MEDIO","🔴 BAJO"))</f>
        <v>🔴 BAJO</v>
      </c>
    </row>
    <row r="76" spans="1:49" ht="16.5" hidden="1" thickTop="1" thickBot="1" x14ac:dyDescent="0.3">
      <c r="A76" s="277">
        <f>'🧾 Factura Comercial'!E78</f>
        <v>0</v>
      </c>
      <c r="B76" s="277">
        <f>'🧾 Factura Comercial'!F78</f>
        <v>0</v>
      </c>
      <c r="C76" s="278">
        <f>'🧾 Factura Comercial'!G78</f>
        <v>0</v>
      </c>
      <c r="D76" s="279">
        <f>'🧾 Factura Comercial'!H78</f>
        <v>0</v>
      </c>
      <c r="E76" s="279">
        <f>'🧾 Factura Comercial'!I78</f>
        <v>0</v>
      </c>
      <c r="F76" s="280">
        <f>IF('🧾 Tributos Aduana'!$F$6=0,0,'🧾 Factura Comercial'!I78/'🧾 Tributos Aduana'!$F$6)</f>
        <v>0</v>
      </c>
      <c r="G76" s="281">
        <f>'🧾 Factura Comercial'!H78*'📋 Datos Generales'!$E$19</f>
        <v>0</v>
      </c>
      <c r="H76" s="281">
        <f>TABLA_BASE[[#This Row],[FOB UNIT.
(S/.)]]*TABLA_BASE[[#This Row],[CANTIDAD
(unid.)]]</f>
        <v>0</v>
      </c>
      <c r="I76" s="283">
        <f>IF('🧾 Tributos Aduana'!$F$6=0,0,'🧾 Tributos Aduana'!$F$17*('🧾 Factura Comercial'!H78/'🧾 Tributos Aduana'!$F$6))</f>
        <v>0</v>
      </c>
      <c r="J76" s="283">
        <f>TABLA_BASE[[#This Row],[ADV UNIT.
(US$)
⚠️COSTO]]*TABLA_BASE[[#This Row],[CANTIDAD
(unid.)]]</f>
        <v>0</v>
      </c>
      <c r="K76" s="282">
        <f>IF('🧾 Tributos Aduana'!$F$6=0,0,'🧾 Tributos Aduana'!$F$18*('🧾 Factura Comercial'!H78/'🧾 Tributos Aduana'!$F$6))</f>
        <v>0</v>
      </c>
      <c r="L76" s="283">
        <f>TABLA_BASE[[#This Row],[IPM UNIT.
(US$)
✅CF]]*TABLA_BASE[[#This Row],[CANTIDAD
(unid.)]]</f>
        <v>0</v>
      </c>
      <c r="M76" s="282">
        <f>IF('🧾 Tributos Aduana'!$F$6=0,0,'🧾 Tributos Aduana'!$F$19*('🧾 Factura Comercial'!H78/'🧾 Tributos Aduana'!$F$6))</f>
        <v>0</v>
      </c>
      <c r="N76" s="283">
        <f>TABLA_BASE[[#This Row],[IGV UNIT.
(US$)
✅CF]]*TABLA_BASE[[#This Row],[CANTIDAD
(unid.)]]</f>
        <v>0</v>
      </c>
      <c r="O76" s="283">
        <f>IF('🧾 Tributos Aduana'!$F$6=0,0,'🧾 Tributos Aduana'!$F$23*('🧾 Factura Comercial'!H78/'🧾 Tributos Aduana'!$F$6))</f>
        <v>0</v>
      </c>
      <c r="P76" s="283">
        <f>TABLA_BASE[[#This Row],[PERCEP.
UNIT.(US$)
✅CF]]*TABLA_BASE[[#This Row],[CANTIDAD
(unid.)]]</f>
        <v>0</v>
      </c>
      <c r="Q76" s="282">
        <f>TABLA_BASE[[#This Row],[ADV UNIT.
(US$)
⚠️COSTO]]+TABLA_BASE[[#This Row],[IPM UNIT.
(US$)
✅CF]]+TABLA_BASE[[#This Row],[IGV UNIT.
(US$)
✅CF]]</f>
        <v>0</v>
      </c>
      <c r="R76" s="283">
        <f>TABLA_BASE[[#This Row],[DEUDA
ADUANERA
UNIT.]]*TABLA_BASE[[#This Row],[CANTIDAD
(unid.)]]</f>
        <v>0</v>
      </c>
      <c r="S76" s="284">
        <f>TABLA_BASE[[#This Row],[ADV UNIT.
(US$)
⚠️COSTO]]*'📋 Datos Generales'!$E$19</f>
        <v>0</v>
      </c>
      <c r="T76" s="284">
        <f>TABLA_BASE[[#This Row],[ADV UNIT.
(S/.)]]*TABLA_BASE[[#This Row],[CANTIDAD
(unid.)]]</f>
        <v>0</v>
      </c>
      <c r="U76" s="284">
        <f>TABLA_BASE[[#This Row],[IPM UNIT.
(US$)
✅CF]]*'📋 Datos Generales'!$E$19</f>
        <v>0</v>
      </c>
      <c r="V76" s="284">
        <f>TABLA_BASE[[#This Row],[IPM UNIT.
(S/.)]]*TABLA_BASE[[#This Row],[CANTIDAD
(unid.)]]</f>
        <v>0</v>
      </c>
      <c r="W76" s="284">
        <f>TABLA_BASE[[#This Row],[IGV UNIT.
(US$)
✅CF]]*'📋 Datos Generales'!$E$19</f>
        <v>0</v>
      </c>
      <c r="X76" s="284">
        <f>TABLA_BASE[[#This Row],[IGV UNIT.
(S/.)]]*TABLA_BASE[[#This Row],[CANTIDAD
(unid.)]]</f>
        <v>0</v>
      </c>
      <c r="Y76" s="284">
        <f>TABLA_BASE[[#This Row],[PERCEP.
UNIT.(US$)
✅CF]]*'📋 Datos Generales'!$E$19</f>
        <v>0</v>
      </c>
      <c r="Z76" s="284">
        <f>TABLA_BASE[[#This Row],[PERCEP.
UNIT.(S/.)]]*TABLA_BASE[[#This Row],[CANTIDAD
(unid.)]]</f>
        <v>0</v>
      </c>
      <c r="AA76" s="282">
        <f>TABLA_BASE[[#This Row],[ADV UNIT.
(US$)
⚠️COSTO]]+TABLA_BASE[[#This Row],[IPM UNIT.
(US$)
✅CF]]+TABLA_BASE[[#This Row],[IGV UNIT.
(US$)
✅CF]]+TABLA_BASE[[#This Row],[PERCEP.
UNIT.(US$)
✅CF]]</f>
        <v>0</v>
      </c>
      <c r="AB76" s="282">
        <f>TABLA_BASE[[#This Row],[TOTAL PAGO
SUNAT
UNIT.(US$)]]*TABLA_BASE[[#This Row],[CANTIDAD
(unid.)]]</f>
        <v>0</v>
      </c>
      <c r="AC76" s="284">
        <f>TABLA_BASE[[#This Row],[TOTAL PAGO
SUNAT
UNIT.(US$)]]*'📋 Datos Generales'!$E$19</f>
        <v>0</v>
      </c>
      <c r="AD76" s="284">
        <f>TABLA_BASE[[#This Row],[TOTAL TRIB.
UNIT.(S/.)]]*TABLA_BASE[[#This Row],[CANTIDAD
(unid.)]]</f>
        <v>0</v>
      </c>
      <c r="AE76" s="282">
        <f>IF('🧾 Factura Comercial'!G78=0,0,'📦 Gastos Importación'!$E$28*(IF('🧾 Tributos Aduana'!$F$6=0,0,'🧾 Factura Comercial'!I78/'🧾 Tributos Aduana'!$F$6))/'🧾 Factura Comercial'!G78)</f>
        <v>0</v>
      </c>
      <c r="AF76" s="282">
        <f>TABLA_BASE[[#This Row],[GASTOS IMP.
UNIT.(US$)]]*TABLA_BASE[[#This Row],[CANTIDAD
(unid.)]]</f>
        <v>0</v>
      </c>
      <c r="AG76" s="284">
        <f>TABLA_BASE[[#This Row],[GASTOS IMP.
UNIT.(US$)]]*'📋 Datos Generales'!$E$19</f>
        <v>0</v>
      </c>
      <c r="AH76" s="284">
        <f>TABLA_BASE[[#This Row],[GASTOS IMP.
UNIT.(S/.)]]*TABLA_BASE[[#This Row],[CANTIDAD
(unid.)]]</f>
        <v>0</v>
      </c>
      <c r="AI76" s="283">
        <f>'🧮 Costos x Producto'!J80</f>
        <v>0</v>
      </c>
      <c r="AJ76" s="282">
        <f>'🧮 Costos x Producto'!K80</f>
        <v>0</v>
      </c>
      <c r="AK76" s="282">
        <f>IF('🧾 Factura Comercial'!G78=0,0,'🧾 Tributos Aduana'!$F$17*(IF('🧾 Tributos Aduana'!$F$6=0,0,'🧾 Factura Comercial'!I78/'🧾 Tributos Aduana'!$F$6))/'🧾 Factura Comercial'!G78)</f>
        <v>0</v>
      </c>
      <c r="AL76" s="282">
        <f>IF('🧾 Factura Comercial'!G78=0,0,'🏦 Crédito Fiscal'!$C$16*(IF('🧾 Tributos Aduana'!$F$6=0,0,'🧾 Factura Comercial'!I78/'🧾 Tributos Aduana'!$F$6))/'🧾 Factura Comercial'!G78)</f>
        <v>0</v>
      </c>
      <c r="AM76" s="284">
        <f>TABLA_BASE[[#This Row],[CF UNIT.
✅RECUP.
(US$)]]*'📋 Datos Generales'!$E$19</f>
        <v>0</v>
      </c>
      <c r="AN76" s="281">
        <f>TABLA_BASE[[#This Row],[CF UNIT.
✅RECUP.(S/.)]]*TABLA_BASE[[#This Row],[CANTIDAD
(unid.)]]</f>
        <v>0</v>
      </c>
      <c r="AO76" s="298">
        <f>'💰 Precio de Venta'!G81</f>
        <v>0</v>
      </c>
      <c r="AP76" s="284">
        <f>'💰 Precio de Venta'!H81</f>
        <v>0</v>
      </c>
      <c r="AQ76" s="284">
        <f>'💰 Precio de Venta'!I81</f>
        <v>0</v>
      </c>
      <c r="AR76" s="281">
        <f>'💰 Precio de Venta'!J81</f>
        <v>0</v>
      </c>
      <c r="AS76" s="300">
        <f>'💰 Precio de Venta'!K81</f>
        <v>0</v>
      </c>
      <c r="AT76" s="281">
        <f>TABLA_BASE[[#This Row],[GANANCIA
UNIT.(S/.)]]*'🧾 Factura Comercial'!G78</f>
        <v>0</v>
      </c>
      <c r="AU76" s="280">
        <f>IF(TABLA_BASE[[#This Row],[PRECIO VTA.
c/IGV(S/.)]]=0,0,TABLA_BASE[[#This Row],[GANANCIA
UNIT.(S/.)]]/TABLA_BASE[[#This Row],[PRECIO VTA.
c/IGV(S/.)]])</f>
        <v>0</v>
      </c>
      <c r="AV76" s="280">
        <f>IF(TABLA_BASE[[#This Row],[C/M UNIT.
(S/.)]]=0,0,TABLA_BASE[[#This Row],[GANANCIA
UNIT.(S/.)]]/TABLA_BASE[[#This Row],[C/M UNIT.
(S/.)]])</f>
        <v>0</v>
      </c>
      <c r="AW76" s="277" t="str">
        <f>IF(TABLA_BASE[[#This Row],[MARGEN
%]]&gt;=0.5,"🟢 ALTO",IF(TABLA_BASE[[#This Row],[MARGEN
%]]&gt;=0.3,"🟡 MEDIO","🔴 BAJO"))</f>
        <v>🔴 BAJO</v>
      </c>
    </row>
    <row r="77" spans="1:49" ht="16.5" hidden="1" thickTop="1" thickBot="1" x14ac:dyDescent="0.3">
      <c r="A77" s="277">
        <f>'🧾 Factura Comercial'!E79</f>
        <v>0</v>
      </c>
      <c r="B77" s="277">
        <f>'🧾 Factura Comercial'!F79</f>
        <v>0</v>
      </c>
      <c r="C77" s="278">
        <f>'🧾 Factura Comercial'!G79</f>
        <v>0</v>
      </c>
      <c r="D77" s="279">
        <f>'🧾 Factura Comercial'!H79</f>
        <v>0</v>
      </c>
      <c r="E77" s="279">
        <f>'🧾 Factura Comercial'!I79</f>
        <v>0</v>
      </c>
      <c r="F77" s="280">
        <f>IF('🧾 Tributos Aduana'!$F$6=0,0,'🧾 Factura Comercial'!I79/'🧾 Tributos Aduana'!$F$6)</f>
        <v>0</v>
      </c>
      <c r="G77" s="281">
        <f>'🧾 Factura Comercial'!H79*'📋 Datos Generales'!$E$19</f>
        <v>0</v>
      </c>
      <c r="H77" s="281">
        <f>TABLA_BASE[[#This Row],[FOB UNIT.
(S/.)]]*TABLA_BASE[[#This Row],[CANTIDAD
(unid.)]]</f>
        <v>0</v>
      </c>
      <c r="I77" s="283">
        <f>IF('🧾 Tributos Aduana'!$F$6=0,0,'🧾 Tributos Aduana'!$F$17*('🧾 Factura Comercial'!H79/'🧾 Tributos Aduana'!$F$6))</f>
        <v>0</v>
      </c>
      <c r="J77" s="283">
        <f>TABLA_BASE[[#This Row],[ADV UNIT.
(US$)
⚠️COSTO]]*TABLA_BASE[[#This Row],[CANTIDAD
(unid.)]]</f>
        <v>0</v>
      </c>
      <c r="K77" s="282">
        <f>IF('🧾 Tributos Aduana'!$F$6=0,0,'🧾 Tributos Aduana'!$F$18*('🧾 Factura Comercial'!H79/'🧾 Tributos Aduana'!$F$6))</f>
        <v>0</v>
      </c>
      <c r="L77" s="283">
        <f>TABLA_BASE[[#This Row],[IPM UNIT.
(US$)
✅CF]]*TABLA_BASE[[#This Row],[CANTIDAD
(unid.)]]</f>
        <v>0</v>
      </c>
      <c r="M77" s="282">
        <f>IF('🧾 Tributos Aduana'!$F$6=0,0,'🧾 Tributos Aduana'!$F$19*('🧾 Factura Comercial'!H79/'🧾 Tributos Aduana'!$F$6))</f>
        <v>0</v>
      </c>
      <c r="N77" s="283">
        <f>TABLA_BASE[[#This Row],[IGV UNIT.
(US$)
✅CF]]*TABLA_BASE[[#This Row],[CANTIDAD
(unid.)]]</f>
        <v>0</v>
      </c>
      <c r="O77" s="283">
        <f>IF('🧾 Tributos Aduana'!$F$6=0,0,'🧾 Tributos Aduana'!$F$23*('🧾 Factura Comercial'!H79/'🧾 Tributos Aduana'!$F$6))</f>
        <v>0</v>
      </c>
      <c r="P77" s="283">
        <f>TABLA_BASE[[#This Row],[PERCEP.
UNIT.(US$)
✅CF]]*TABLA_BASE[[#This Row],[CANTIDAD
(unid.)]]</f>
        <v>0</v>
      </c>
      <c r="Q77" s="282">
        <f>TABLA_BASE[[#This Row],[ADV UNIT.
(US$)
⚠️COSTO]]+TABLA_BASE[[#This Row],[IPM UNIT.
(US$)
✅CF]]+TABLA_BASE[[#This Row],[IGV UNIT.
(US$)
✅CF]]</f>
        <v>0</v>
      </c>
      <c r="R77" s="283">
        <f>TABLA_BASE[[#This Row],[DEUDA
ADUANERA
UNIT.]]*TABLA_BASE[[#This Row],[CANTIDAD
(unid.)]]</f>
        <v>0</v>
      </c>
      <c r="S77" s="284">
        <f>TABLA_BASE[[#This Row],[ADV UNIT.
(US$)
⚠️COSTO]]*'📋 Datos Generales'!$E$19</f>
        <v>0</v>
      </c>
      <c r="T77" s="284">
        <f>TABLA_BASE[[#This Row],[ADV UNIT.
(S/.)]]*TABLA_BASE[[#This Row],[CANTIDAD
(unid.)]]</f>
        <v>0</v>
      </c>
      <c r="U77" s="284">
        <f>TABLA_BASE[[#This Row],[IPM UNIT.
(US$)
✅CF]]*'📋 Datos Generales'!$E$19</f>
        <v>0</v>
      </c>
      <c r="V77" s="284">
        <f>TABLA_BASE[[#This Row],[IPM UNIT.
(S/.)]]*TABLA_BASE[[#This Row],[CANTIDAD
(unid.)]]</f>
        <v>0</v>
      </c>
      <c r="W77" s="284">
        <f>TABLA_BASE[[#This Row],[IGV UNIT.
(US$)
✅CF]]*'📋 Datos Generales'!$E$19</f>
        <v>0</v>
      </c>
      <c r="X77" s="284">
        <f>TABLA_BASE[[#This Row],[IGV UNIT.
(S/.)]]*TABLA_BASE[[#This Row],[CANTIDAD
(unid.)]]</f>
        <v>0</v>
      </c>
      <c r="Y77" s="284">
        <f>TABLA_BASE[[#This Row],[PERCEP.
UNIT.(US$)
✅CF]]*'📋 Datos Generales'!$E$19</f>
        <v>0</v>
      </c>
      <c r="Z77" s="284">
        <f>TABLA_BASE[[#This Row],[PERCEP.
UNIT.(S/.)]]*TABLA_BASE[[#This Row],[CANTIDAD
(unid.)]]</f>
        <v>0</v>
      </c>
      <c r="AA77" s="282">
        <f>TABLA_BASE[[#This Row],[ADV UNIT.
(US$)
⚠️COSTO]]+TABLA_BASE[[#This Row],[IPM UNIT.
(US$)
✅CF]]+TABLA_BASE[[#This Row],[IGV UNIT.
(US$)
✅CF]]+TABLA_BASE[[#This Row],[PERCEP.
UNIT.(US$)
✅CF]]</f>
        <v>0</v>
      </c>
      <c r="AB77" s="282">
        <f>TABLA_BASE[[#This Row],[TOTAL PAGO
SUNAT
UNIT.(US$)]]*TABLA_BASE[[#This Row],[CANTIDAD
(unid.)]]</f>
        <v>0</v>
      </c>
      <c r="AC77" s="284">
        <f>TABLA_BASE[[#This Row],[TOTAL PAGO
SUNAT
UNIT.(US$)]]*'📋 Datos Generales'!$E$19</f>
        <v>0</v>
      </c>
      <c r="AD77" s="284">
        <f>TABLA_BASE[[#This Row],[TOTAL TRIB.
UNIT.(S/.)]]*TABLA_BASE[[#This Row],[CANTIDAD
(unid.)]]</f>
        <v>0</v>
      </c>
      <c r="AE77" s="282">
        <f>IF('🧾 Factura Comercial'!G79=0,0,'📦 Gastos Importación'!$E$28*(IF('🧾 Tributos Aduana'!$F$6=0,0,'🧾 Factura Comercial'!I79/'🧾 Tributos Aduana'!$F$6))/'🧾 Factura Comercial'!G79)</f>
        <v>0</v>
      </c>
      <c r="AF77" s="282">
        <f>TABLA_BASE[[#This Row],[GASTOS IMP.
UNIT.(US$)]]*TABLA_BASE[[#This Row],[CANTIDAD
(unid.)]]</f>
        <v>0</v>
      </c>
      <c r="AG77" s="284">
        <f>TABLA_BASE[[#This Row],[GASTOS IMP.
UNIT.(US$)]]*'📋 Datos Generales'!$E$19</f>
        <v>0</v>
      </c>
      <c r="AH77" s="284">
        <f>TABLA_BASE[[#This Row],[GASTOS IMP.
UNIT.(S/.)]]*TABLA_BASE[[#This Row],[CANTIDAD
(unid.)]]</f>
        <v>0</v>
      </c>
      <c r="AI77" s="283">
        <f>'🧮 Costos x Producto'!J81</f>
        <v>0</v>
      </c>
      <c r="AJ77" s="282">
        <f>'🧮 Costos x Producto'!K81</f>
        <v>0</v>
      </c>
      <c r="AK77" s="282">
        <f>IF('🧾 Factura Comercial'!G79=0,0,'🧾 Tributos Aduana'!$F$17*(IF('🧾 Tributos Aduana'!$F$6=0,0,'🧾 Factura Comercial'!I79/'🧾 Tributos Aduana'!$F$6))/'🧾 Factura Comercial'!G79)</f>
        <v>0</v>
      </c>
      <c r="AL77" s="282">
        <f>IF('🧾 Factura Comercial'!G79=0,0,'🏦 Crédito Fiscal'!$C$16*(IF('🧾 Tributos Aduana'!$F$6=0,0,'🧾 Factura Comercial'!I79/'🧾 Tributos Aduana'!$F$6))/'🧾 Factura Comercial'!G79)</f>
        <v>0</v>
      </c>
      <c r="AM77" s="284">
        <f>TABLA_BASE[[#This Row],[CF UNIT.
✅RECUP.
(US$)]]*'📋 Datos Generales'!$E$19</f>
        <v>0</v>
      </c>
      <c r="AN77" s="281">
        <f>TABLA_BASE[[#This Row],[CF UNIT.
✅RECUP.(S/.)]]*TABLA_BASE[[#This Row],[CANTIDAD
(unid.)]]</f>
        <v>0</v>
      </c>
      <c r="AO77" s="298">
        <f>'💰 Precio de Venta'!G82</f>
        <v>0</v>
      </c>
      <c r="AP77" s="284">
        <f>'💰 Precio de Venta'!H82</f>
        <v>0</v>
      </c>
      <c r="AQ77" s="284">
        <f>'💰 Precio de Venta'!I82</f>
        <v>0</v>
      </c>
      <c r="AR77" s="281">
        <f>'💰 Precio de Venta'!J82</f>
        <v>0</v>
      </c>
      <c r="AS77" s="300">
        <f>'💰 Precio de Venta'!K82</f>
        <v>0</v>
      </c>
      <c r="AT77" s="281">
        <f>TABLA_BASE[[#This Row],[GANANCIA
UNIT.(S/.)]]*'🧾 Factura Comercial'!G79</f>
        <v>0</v>
      </c>
      <c r="AU77" s="280">
        <f>IF(TABLA_BASE[[#This Row],[PRECIO VTA.
c/IGV(S/.)]]=0,0,TABLA_BASE[[#This Row],[GANANCIA
UNIT.(S/.)]]/TABLA_BASE[[#This Row],[PRECIO VTA.
c/IGV(S/.)]])</f>
        <v>0</v>
      </c>
      <c r="AV77" s="280">
        <f>IF(TABLA_BASE[[#This Row],[C/M UNIT.
(S/.)]]=0,0,TABLA_BASE[[#This Row],[GANANCIA
UNIT.(S/.)]]/TABLA_BASE[[#This Row],[C/M UNIT.
(S/.)]])</f>
        <v>0</v>
      </c>
      <c r="AW77" s="277" t="str">
        <f>IF(TABLA_BASE[[#This Row],[MARGEN
%]]&gt;=0.5,"🟢 ALTO",IF(TABLA_BASE[[#This Row],[MARGEN
%]]&gt;=0.3,"🟡 MEDIO","🔴 BAJO"))</f>
        <v>🔴 BAJO</v>
      </c>
    </row>
    <row r="78" spans="1:49" ht="16.5" hidden="1" thickTop="1" thickBot="1" x14ac:dyDescent="0.3">
      <c r="A78" s="277">
        <f>'🧾 Factura Comercial'!E80</f>
        <v>0</v>
      </c>
      <c r="B78" s="277">
        <f>'🧾 Factura Comercial'!F80</f>
        <v>0</v>
      </c>
      <c r="C78" s="278">
        <f>'🧾 Factura Comercial'!G80</f>
        <v>0</v>
      </c>
      <c r="D78" s="279">
        <f>'🧾 Factura Comercial'!H80</f>
        <v>0</v>
      </c>
      <c r="E78" s="279">
        <f>'🧾 Factura Comercial'!I80</f>
        <v>0</v>
      </c>
      <c r="F78" s="280">
        <f>IF('🧾 Tributos Aduana'!$F$6=0,0,'🧾 Factura Comercial'!I80/'🧾 Tributos Aduana'!$F$6)</f>
        <v>0</v>
      </c>
      <c r="G78" s="281">
        <f>'🧾 Factura Comercial'!H80*'📋 Datos Generales'!$E$19</f>
        <v>0</v>
      </c>
      <c r="H78" s="281">
        <f>TABLA_BASE[[#This Row],[FOB UNIT.
(S/.)]]*TABLA_BASE[[#This Row],[CANTIDAD
(unid.)]]</f>
        <v>0</v>
      </c>
      <c r="I78" s="283">
        <f>IF('🧾 Tributos Aduana'!$F$6=0,0,'🧾 Tributos Aduana'!$F$17*('🧾 Factura Comercial'!H80/'🧾 Tributos Aduana'!$F$6))</f>
        <v>0</v>
      </c>
      <c r="J78" s="283">
        <f>TABLA_BASE[[#This Row],[ADV UNIT.
(US$)
⚠️COSTO]]*TABLA_BASE[[#This Row],[CANTIDAD
(unid.)]]</f>
        <v>0</v>
      </c>
      <c r="K78" s="282">
        <f>IF('🧾 Tributos Aduana'!$F$6=0,0,'🧾 Tributos Aduana'!$F$18*('🧾 Factura Comercial'!H80/'🧾 Tributos Aduana'!$F$6))</f>
        <v>0</v>
      </c>
      <c r="L78" s="283">
        <f>TABLA_BASE[[#This Row],[IPM UNIT.
(US$)
✅CF]]*TABLA_BASE[[#This Row],[CANTIDAD
(unid.)]]</f>
        <v>0</v>
      </c>
      <c r="M78" s="282">
        <f>IF('🧾 Tributos Aduana'!$F$6=0,0,'🧾 Tributos Aduana'!$F$19*('🧾 Factura Comercial'!H80/'🧾 Tributos Aduana'!$F$6))</f>
        <v>0</v>
      </c>
      <c r="N78" s="283">
        <f>TABLA_BASE[[#This Row],[IGV UNIT.
(US$)
✅CF]]*TABLA_BASE[[#This Row],[CANTIDAD
(unid.)]]</f>
        <v>0</v>
      </c>
      <c r="O78" s="283">
        <f>IF('🧾 Tributos Aduana'!$F$6=0,0,'🧾 Tributos Aduana'!$F$23*('🧾 Factura Comercial'!H80/'🧾 Tributos Aduana'!$F$6))</f>
        <v>0</v>
      </c>
      <c r="P78" s="283">
        <f>TABLA_BASE[[#This Row],[PERCEP.
UNIT.(US$)
✅CF]]*TABLA_BASE[[#This Row],[CANTIDAD
(unid.)]]</f>
        <v>0</v>
      </c>
      <c r="Q78" s="282">
        <f>TABLA_BASE[[#This Row],[ADV UNIT.
(US$)
⚠️COSTO]]+TABLA_BASE[[#This Row],[IPM UNIT.
(US$)
✅CF]]+TABLA_BASE[[#This Row],[IGV UNIT.
(US$)
✅CF]]</f>
        <v>0</v>
      </c>
      <c r="R78" s="283">
        <f>TABLA_BASE[[#This Row],[DEUDA
ADUANERA
UNIT.]]*TABLA_BASE[[#This Row],[CANTIDAD
(unid.)]]</f>
        <v>0</v>
      </c>
      <c r="S78" s="284">
        <f>TABLA_BASE[[#This Row],[ADV UNIT.
(US$)
⚠️COSTO]]*'📋 Datos Generales'!$E$19</f>
        <v>0</v>
      </c>
      <c r="T78" s="284">
        <f>TABLA_BASE[[#This Row],[ADV UNIT.
(S/.)]]*TABLA_BASE[[#This Row],[CANTIDAD
(unid.)]]</f>
        <v>0</v>
      </c>
      <c r="U78" s="284">
        <f>TABLA_BASE[[#This Row],[IPM UNIT.
(US$)
✅CF]]*'📋 Datos Generales'!$E$19</f>
        <v>0</v>
      </c>
      <c r="V78" s="284">
        <f>TABLA_BASE[[#This Row],[IPM UNIT.
(S/.)]]*TABLA_BASE[[#This Row],[CANTIDAD
(unid.)]]</f>
        <v>0</v>
      </c>
      <c r="W78" s="284">
        <f>TABLA_BASE[[#This Row],[IGV UNIT.
(US$)
✅CF]]*'📋 Datos Generales'!$E$19</f>
        <v>0</v>
      </c>
      <c r="X78" s="284">
        <f>TABLA_BASE[[#This Row],[IGV UNIT.
(S/.)]]*TABLA_BASE[[#This Row],[CANTIDAD
(unid.)]]</f>
        <v>0</v>
      </c>
      <c r="Y78" s="284">
        <f>TABLA_BASE[[#This Row],[PERCEP.
UNIT.(US$)
✅CF]]*'📋 Datos Generales'!$E$19</f>
        <v>0</v>
      </c>
      <c r="Z78" s="284">
        <f>TABLA_BASE[[#This Row],[PERCEP.
UNIT.(S/.)]]*TABLA_BASE[[#This Row],[CANTIDAD
(unid.)]]</f>
        <v>0</v>
      </c>
      <c r="AA78" s="282">
        <f>TABLA_BASE[[#This Row],[ADV UNIT.
(US$)
⚠️COSTO]]+TABLA_BASE[[#This Row],[IPM UNIT.
(US$)
✅CF]]+TABLA_BASE[[#This Row],[IGV UNIT.
(US$)
✅CF]]+TABLA_BASE[[#This Row],[PERCEP.
UNIT.(US$)
✅CF]]</f>
        <v>0</v>
      </c>
      <c r="AB78" s="282">
        <f>TABLA_BASE[[#This Row],[TOTAL PAGO
SUNAT
UNIT.(US$)]]*TABLA_BASE[[#This Row],[CANTIDAD
(unid.)]]</f>
        <v>0</v>
      </c>
      <c r="AC78" s="284">
        <f>TABLA_BASE[[#This Row],[TOTAL PAGO
SUNAT
UNIT.(US$)]]*'📋 Datos Generales'!$E$19</f>
        <v>0</v>
      </c>
      <c r="AD78" s="284">
        <f>TABLA_BASE[[#This Row],[TOTAL TRIB.
UNIT.(S/.)]]*TABLA_BASE[[#This Row],[CANTIDAD
(unid.)]]</f>
        <v>0</v>
      </c>
      <c r="AE78" s="282">
        <f>IF('🧾 Factura Comercial'!G80=0,0,'📦 Gastos Importación'!$E$28*(IF('🧾 Tributos Aduana'!$F$6=0,0,'🧾 Factura Comercial'!I80/'🧾 Tributos Aduana'!$F$6))/'🧾 Factura Comercial'!G80)</f>
        <v>0</v>
      </c>
      <c r="AF78" s="282">
        <f>TABLA_BASE[[#This Row],[GASTOS IMP.
UNIT.(US$)]]*TABLA_BASE[[#This Row],[CANTIDAD
(unid.)]]</f>
        <v>0</v>
      </c>
      <c r="AG78" s="284">
        <f>TABLA_BASE[[#This Row],[GASTOS IMP.
UNIT.(US$)]]*'📋 Datos Generales'!$E$19</f>
        <v>0</v>
      </c>
      <c r="AH78" s="284">
        <f>TABLA_BASE[[#This Row],[GASTOS IMP.
UNIT.(S/.)]]*TABLA_BASE[[#This Row],[CANTIDAD
(unid.)]]</f>
        <v>0</v>
      </c>
      <c r="AI78" s="283">
        <f>'🧮 Costos x Producto'!J82</f>
        <v>0</v>
      </c>
      <c r="AJ78" s="282">
        <f>'🧮 Costos x Producto'!K82</f>
        <v>0</v>
      </c>
      <c r="AK78" s="282">
        <f>IF('🧾 Factura Comercial'!G80=0,0,'🧾 Tributos Aduana'!$F$17*(IF('🧾 Tributos Aduana'!$F$6=0,0,'🧾 Factura Comercial'!I80/'🧾 Tributos Aduana'!$F$6))/'🧾 Factura Comercial'!G80)</f>
        <v>0</v>
      </c>
      <c r="AL78" s="282">
        <f>IF('🧾 Factura Comercial'!G80=0,0,'🏦 Crédito Fiscal'!$C$16*(IF('🧾 Tributos Aduana'!$F$6=0,0,'🧾 Factura Comercial'!I80/'🧾 Tributos Aduana'!$F$6))/'🧾 Factura Comercial'!G80)</f>
        <v>0</v>
      </c>
      <c r="AM78" s="284">
        <f>TABLA_BASE[[#This Row],[CF UNIT.
✅RECUP.
(US$)]]*'📋 Datos Generales'!$E$19</f>
        <v>0</v>
      </c>
      <c r="AN78" s="281">
        <f>TABLA_BASE[[#This Row],[CF UNIT.
✅RECUP.(S/.)]]*TABLA_BASE[[#This Row],[CANTIDAD
(unid.)]]</f>
        <v>0</v>
      </c>
      <c r="AO78" s="298">
        <f>'💰 Precio de Venta'!G83</f>
        <v>0</v>
      </c>
      <c r="AP78" s="284">
        <f>'💰 Precio de Venta'!H83</f>
        <v>0</v>
      </c>
      <c r="AQ78" s="284">
        <f>'💰 Precio de Venta'!I83</f>
        <v>0</v>
      </c>
      <c r="AR78" s="281">
        <f>'💰 Precio de Venta'!J83</f>
        <v>0</v>
      </c>
      <c r="AS78" s="300">
        <f>'💰 Precio de Venta'!K83</f>
        <v>0</v>
      </c>
      <c r="AT78" s="281">
        <f>TABLA_BASE[[#This Row],[GANANCIA
UNIT.(S/.)]]*'🧾 Factura Comercial'!G80</f>
        <v>0</v>
      </c>
      <c r="AU78" s="280">
        <f>IF(TABLA_BASE[[#This Row],[PRECIO VTA.
c/IGV(S/.)]]=0,0,TABLA_BASE[[#This Row],[GANANCIA
UNIT.(S/.)]]/TABLA_BASE[[#This Row],[PRECIO VTA.
c/IGV(S/.)]])</f>
        <v>0</v>
      </c>
      <c r="AV78" s="280">
        <f>IF(TABLA_BASE[[#This Row],[C/M UNIT.
(S/.)]]=0,0,TABLA_BASE[[#This Row],[GANANCIA
UNIT.(S/.)]]/TABLA_BASE[[#This Row],[C/M UNIT.
(S/.)]])</f>
        <v>0</v>
      </c>
      <c r="AW78" s="277" t="str">
        <f>IF(TABLA_BASE[[#This Row],[MARGEN
%]]&gt;=0.5,"🟢 ALTO",IF(TABLA_BASE[[#This Row],[MARGEN
%]]&gt;=0.3,"🟡 MEDIO","🔴 BAJO"))</f>
        <v>🔴 BAJO</v>
      </c>
    </row>
    <row r="79" spans="1:49" ht="16.5" hidden="1" thickTop="1" thickBot="1" x14ac:dyDescent="0.3">
      <c r="A79" s="277">
        <f>'🧾 Factura Comercial'!E81</f>
        <v>0</v>
      </c>
      <c r="B79" s="277">
        <f>'🧾 Factura Comercial'!F81</f>
        <v>0</v>
      </c>
      <c r="C79" s="278">
        <f>'🧾 Factura Comercial'!G81</f>
        <v>0</v>
      </c>
      <c r="D79" s="279">
        <f>'🧾 Factura Comercial'!H81</f>
        <v>0</v>
      </c>
      <c r="E79" s="279">
        <f>'🧾 Factura Comercial'!I81</f>
        <v>0</v>
      </c>
      <c r="F79" s="280">
        <f>IF('🧾 Tributos Aduana'!$F$6=0,0,'🧾 Factura Comercial'!I81/'🧾 Tributos Aduana'!$F$6)</f>
        <v>0</v>
      </c>
      <c r="G79" s="281">
        <f>'🧾 Factura Comercial'!H81*'📋 Datos Generales'!$E$19</f>
        <v>0</v>
      </c>
      <c r="H79" s="281">
        <f>TABLA_BASE[[#This Row],[FOB UNIT.
(S/.)]]*TABLA_BASE[[#This Row],[CANTIDAD
(unid.)]]</f>
        <v>0</v>
      </c>
      <c r="I79" s="283">
        <f>IF('🧾 Tributos Aduana'!$F$6=0,0,'🧾 Tributos Aduana'!$F$17*('🧾 Factura Comercial'!H81/'🧾 Tributos Aduana'!$F$6))</f>
        <v>0</v>
      </c>
      <c r="J79" s="283">
        <f>TABLA_BASE[[#This Row],[ADV UNIT.
(US$)
⚠️COSTO]]*TABLA_BASE[[#This Row],[CANTIDAD
(unid.)]]</f>
        <v>0</v>
      </c>
      <c r="K79" s="282">
        <f>IF('🧾 Tributos Aduana'!$F$6=0,0,'🧾 Tributos Aduana'!$F$18*('🧾 Factura Comercial'!H81/'🧾 Tributos Aduana'!$F$6))</f>
        <v>0</v>
      </c>
      <c r="L79" s="283">
        <f>TABLA_BASE[[#This Row],[IPM UNIT.
(US$)
✅CF]]*TABLA_BASE[[#This Row],[CANTIDAD
(unid.)]]</f>
        <v>0</v>
      </c>
      <c r="M79" s="282">
        <f>IF('🧾 Tributos Aduana'!$F$6=0,0,'🧾 Tributos Aduana'!$F$19*('🧾 Factura Comercial'!H81/'🧾 Tributos Aduana'!$F$6))</f>
        <v>0</v>
      </c>
      <c r="N79" s="283">
        <f>TABLA_BASE[[#This Row],[IGV UNIT.
(US$)
✅CF]]*TABLA_BASE[[#This Row],[CANTIDAD
(unid.)]]</f>
        <v>0</v>
      </c>
      <c r="O79" s="283">
        <f>IF('🧾 Tributos Aduana'!$F$6=0,0,'🧾 Tributos Aduana'!$F$23*('🧾 Factura Comercial'!H81/'🧾 Tributos Aduana'!$F$6))</f>
        <v>0</v>
      </c>
      <c r="P79" s="283">
        <f>TABLA_BASE[[#This Row],[PERCEP.
UNIT.(US$)
✅CF]]*TABLA_BASE[[#This Row],[CANTIDAD
(unid.)]]</f>
        <v>0</v>
      </c>
      <c r="Q79" s="282">
        <f>TABLA_BASE[[#This Row],[ADV UNIT.
(US$)
⚠️COSTO]]+TABLA_BASE[[#This Row],[IPM UNIT.
(US$)
✅CF]]+TABLA_BASE[[#This Row],[IGV UNIT.
(US$)
✅CF]]</f>
        <v>0</v>
      </c>
      <c r="R79" s="283">
        <f>TABLA_BASE[[#This Row],[DEUDA
ADUANERA
UNIT.]]*TABLA_BASE[[#This Row],[CANTIDAD
(unid.)]]</f>
        <v>0</v>
      </c>
      <c r="S79" s="284">
        <f>TABLA_BASE[[#This Row],[ADV UNIT.
(US$)
⚠️COSTO]]*'📋 Datos Generales'!$E$19</f>
        <v>0</v>
      </c>
      <c r="T79" s="284">
        <f>TABLA_BASE[[#This Row],[ADV UNIT.
(S/.)]]*TABLA_BASE[[#This Row],[CANTIDAD
(unid.)]]</f>
        <v>0</v>
      </c>
      <c r="U79" s="284">
        <f>TABLA_BASE[[#This Row],[IPM UNIT.
(US$)
✅CF]]*'📋 Datos Generales'!$E$19</f>
        <v>0</v>
      </c>
      <c r="V79" s="284">
        <f>TABLA_BASE[[#This Row],[IPM UNIT.
(S/.)]]*TABLA_BASE[[#This Row],[CANTIDAD
(unid.)]]</f>
        <v>0</v>
      </c>
      <c r="W79" s="284">
        <f>TABLA_BASE[[#This Row],[IGV UNIT.
(US$)
✅CF]]*'📋 Datos Generales'!$E$19</f>
        <v>0</v>
      </c>
      <c r="X79" s="284">
        <f>TABLA_BASE[[#This Row],[IGV UNIT.
(S/.)]]*TABLA_BASE[[#This Row],[CANTIDAD
(unid.)]]</f>
        <v>0</v>
      </c>
      <c r="Y79" s="284">
        <f>TABLA_BASE[[#This Row],[PERCEP.
UNIT.(US$)
✅CF]]*'📋 Datos Generales'!$E$19</f>
        <v>0</v>
      </c>
      <c r="Z79" s="284">
        <f>TABLA_BASE[[#This Row],[PERCEP.
UNIT.(S/.)]]*TABLA_BASE[[#This Row],[CANTIDAD
(unid.)]]</f>
        <v>0</v>
      </c>
      <c r="AA79" s="282">
        <f>TABLA_BASE[[#This Row],[ADV UNIT.
(US$)
⚠️COSTO]]+TABLA_BASE[[#This Row],[IPM UNIT.
(US$)
✅CF]]+TABLA_BASE[[#This Row],[IGV UNIT.
(US$)
✅CF]]+TABLA_BASE[[#This Row],[PERCEP.
UNIT.(US$)
✅CF]]</f>
        <v>0</v>
      </c>
      <c r="AB79" s="282">
        <f>TABLA_BASE[[#This Row],[TOTAL PAGO
SUNAT
UNIT.(US$)]]*TABLA_BASE[[#This Row],[CANTIDAD
(unid.)]]</f>
        <v>0</v>
      </c>
      <c r="AC79" s="284">
        <f>TABLA_BASE[[#This Row],[TOTAL PAGO
SUNAT
UNIT.(US$)]]*'📋 Datos Generales'!$E$19</f>
        <v>0</v>
      </c>
      <c r="AD79" s="284">
        <f>TABLA_BASE[[#This Row],[TOTAL TRIB.
UNIT.(S/.)]]*TABLA_BASE[[#This Row],[CANTIDAD
(unid.)]]</f>
        <v>0</v>
      </c>
      <c r="AE79" s="282">
        <f>IF('🧾 Factura Comercial'!G81=0,0,'📦 Gastos Importación'!$E$28*(IF('🧾 Tributos Aduana'!$F$6=0,0,'🧾 Factura Comercial'!I81/'🧾 Tributos Aduana'!$F$6))/'🧾 Factura Comercial'!G81)</f>
        <v>0</v>
      </c>
      <c r="AF79" s="282">
        <f>TABLA_BASE[[#This Row],[GASTOS IMP.
UNIT.(US$)]]*TABLA_BASE[[#This Row],[CANTIDAD
(unid.)]]</f>
        <v>0</v>
      </c>
      <c r="AG79" s="284">
        <f>TABLA_BASE[[#This Row],[GASTOS IMP.
UNIT.(US$)]]*'📋 Datos Generales'!$E$19</f>
        <v>0</v>
      </c>
      <c r="AH79" s="284">
        <f>TABLA_BASE[[#This Row],[GASTOS IMP.
UNIT.(S/.)]]*TABLA_BASE[[#This Row],[CANTIDAD
(unid.)]]</f>
        <v>0</v>
      </c>
      <c r="AI79" s="283">
        <f>'🧮 Costos x Producto'!J83</f>
        <v>0</v>
      </c>
      <c r="AJ79" s="282">
        <f>'🧮 Costos x Producto'!K83</f>
        <v>0</v>
      </c>
      <c r="AK79" s="282">
        <f>IF('🧾 Factura Comercial'!G81=0,0,'🧾 Tributos Aduana'!$F$17*(IF('🧾 Tributos Aduana'!$F$6=0,0,'🧾 Factura Comercial'!I81/'🧾 Tributos Aduana'!$F$6))/'🧾 Factura Comercial'!G81)</f>
        <v>0</v>
      </c>
      <c r="AL79" s="282">
        <f>IF('🧾 Factura Comercial'!G81=0,0,'🏦 Crédito Fiscal'!$C$16*(IF('🧾 Tributos Aduana'!$F$6=0,0,'🧾 Factura Comercial'!I81/'🧾 Tributos Aduana'!$F$6))/'🧾 Factura Comercial'!G81)</f>
        <v>0</v>
      </c>
      <c r="AM79" s="284">
        <f>TABLA_BASE[[#This Row],[CF UNIT.
✅RECUP.
(US$)]]*'📋 Datos Generales'!$E$19</f>
        <v>0</v>
      </c>
      <c r="AN79" s="281">
        <f>TABLA_BASE[[#This Row],[CF UNIT.
✅RECUP.(S/.)]]*TABLA_BASE[[#This Row],[CANTIDAD
(unid.)]]</f>
        <v>0</v>
      </c>
      <c r="AO79" s="298">
        <f>'💰 Precio de Venta'!G84</f>
        <v>0</v>
      </c>
      <c r="AP79" s="284">
        <f>'💰 Precio de Venta'!H84</f>
        <v>0</v>
      </c>
      <c r="AQ79" s="284">
        <f>'💰 Precio de Venta'!I84</f>
        <v>0</v>
      </c>
      <c r="AR79" s="281">
        <f>'💰 Precio de Venta'!J84</f>
        <v>0</v>
      </c>
      <c r="AS79" s="300">
        <f>'💰 Precio de Venta'!K84</f>
        <v>0</v>
      </c>
      <c r="AT79" s="281">
        <f>TABLA_BASE[[#This Row],[GANANCIA
UNIT.(S/.)]]*'🧾 Factura Comercial'!G81</f>
        <v>0</v>
      </c>
      <c r="AU79" s="280">
        <f>IF(TABLA_BASE[[#This Row],[PRECIO VTA.
c/IGV(S/.)]]=0,0,TABLA_BASE[[#This Row],[GANANCIA
UNIT.(S/.)]]/TABLA_BASE[[#This Row],[PRECIO VTA.
c/IGV(S/.)]])</f>
        <v>0</v>
      </c>
      <c r="AV79" s="280">
        <f>IF(TABLA_BASE[[#This Row],[C/M UNIT.
(S/.)]]=0,0,TABLA_BASE[[#This Row],[GANANCIA
UNIT.(S/.)]]/TABLA_BASE[[#This Row],[C/M UNIT.
(S/.)]])</f>
        <v>0</v>
      </c>
      <c r="AW79" s="277" t="str">
        <f>IF(TABLA_BASE[[#This Row],[MARGEN
%]]&gt;=0.5,"🟢 ALTO",IF(TABLA_BASE[[#This Row],[MARGEN
%]]&gt;=0.3,"🟡 MEDIO","🔴 BAJO"))</f>
        <v>🔴 BAJO</v>
      </c>
    </row>
    <row r="80" spans="1:49" ht="16.5" hidden="1" thickTop="1" thickBot="1" x14ac:dyDescent="0.3">
      <c r="A80" s="277">
        <f>'🧾 Factura Comercial'!E82</f>
        <v>0</v>
      </c>
      <c r="B80" s="277">
        <f>'🧾 Factura Comercial'!F82</f>
        <v>0</v>
      </c>
      <c r="C80" s="278">
        <f>'🧾 Factura Comercial'!G82</f>
        <v>0</v>
      </c>
      <c r="D80" s="279">
        <f>'🧾 Factura Comercial'!H82</f>
        <v>0</v>
      </c>
      <c r="E80" s="279">
        <f>'🧾 Factura Comercial'!I82</f>
        <v>0</v>
      </c>
      <c r="F80" s="280">
        <f>IF('🧾 Tributos Aduana'!$F$6=0,0,'🧾 Factura Comercial'!I82/'🧾 Tributos Aduana'!$F$6)</f>
        <v>0</v>
      </c>
      <c r="G80" s="281">
        <f>'🧾 Factura Comercial'!H82*'📋 Datos Generales'!$E$19</f>
        <v>0</v>
      </c>
      <c r="H80" s="281">
        <f>TABLA_BASE[[#This Row],[FOB UNIT.
(S/.)]]*TABLA_BASE[[#This Row],[CANTIDAD
(unid.)]]</f>
        <v>0</v>
      </c>
      <c r="I80" s="283">
        <f>IF('🧾 Tributos Aduana'!$F$6=0,0,'🧾 Tributos Aduana'!$F$17*('🧾 Factura Comercial'!H82/'🧾 Tributos Aduana'!$F$6))</f>
        <v>0</v>
      </c>
      <c r="J80" s="283">
        <f>TABLA_BASE[[#This Row],[ADV UNIT.
(US$)
⚠️COSTO]]*TABLA_BASE[[#This Row],[CANTIDAD
(unid.)]]</f>
        <v>0</v>
      </c>
      <c r="K80" s="282">
        <f>IF('🧾 Tributos Aduana'!$F$6=0,0,'🧾 Tributos Aduana'!$F$18*('🧾 Factura Comercial'!H82/'🧾 Tributos Aduana'!$F$6))</f>
        <v>0</v>
      </c>
      <c r="L80" s="283">
        <f>TABLA_BASE[[#This Row],[IPM UNIT.
(US$)
✅CF]]*TABLA_BASE[[#This Row],[CANTIDAD
(unid.)]]</f>
        <v>0</v>
      </c>
      <c r="M80" s="282">
        <f>IF('🧾 Tributos Aduana'!$F$6=0,0,'🧾 Tributos Aduana'!$F$19*('🧾 Factura Comercial'!H82/'🧾 Tributos Aduana'!$F$6))</f>
        <v>0</v>
      </c>
      <c r="N80" s="283">
        <f>TABLA_BASE[[#This Row],[IGV UNIT.
(US$)
✅CF]]*TABLA_BASE[[#This Row],[CANTIDAD
(unid.)]]</f>
        <v>0</v>
      </c>
      <c r="O80" s="283">
        <f>IF('🧾 Tributos Aduana'!$F$6=0,0,'🧾 Tributos Aduana'!$F$23*('🧾 Factura Comercial'!H82/'🧾 Tributos Aduana'!$F$6))</f>
        <v>0</v>
      </c>
      <c r="P80" s="283">
        <f>TABLA_BASE[[#This Row],[PERCEP.
UNIT.(US$)
✅CF]]*TABLA_BASE[[#This Row],[CANTIDAD
(unid.)]]</f>
        <v>0</v>
      </c>
      <c r="Q80" s="282">
        <f>TABLA_BASE[[#This Row],[ADV UNIT.
(US$)
⚠️COSTO]]+TABLA_BASE[[#This Row],[IPM UNIT.
(US$)
✅CF]]+TABLA_BASE[[#This Row],[IGV UNIT.
(US$)
✅CF]]</f>
        <v>0</v>
      </c>
      <c r="R80" s="283">
        <f>TABLA_BASE[[#This Row],[DEUDA
ADUANERA
UNIT.]]*TABLA_BASE[[#This Row],[CANTIDAD
(unid.)]]</f>
        <v>0</v>
      </c>
      <c r="S80" s="284">
        <f>TABLA_BASE[[#This Row],[ADV UNIT.
(US$)
⚠️COSTO]]*'📋 Datos Generales'!$E$19</f>
        <v>0</v>
      </c>
      <c r="T80" s="284">
        <f>TABLA_BASE[[#This Row],[ADV UNIT.
(S/.)]]*TABLA_BASE[[#This Row],[CANTIDAD
(unid.)]]</f>
        <v>0</v>
      </c>
      <c r="U80" s="284">
        <f>TABLA_BASE[[#This Row],[IPM UNIT.
(US$)
✅CF]]*'📋 Datos Generales'!$E$19</f>
        <v>0</v>
      </c>
      <c r="V80" s="284">
        <f>TABLA_BASE[[#This Row],[IPM UNIT.
(S/.)]]*TABLA_BASE[[#This Row],[CANTIDAD
(unid.)]]</f>
        <v>0</v>
      </c>
      <c r="W80" s="284">
        <f>TABLA_BASE[[#This Row],[IGV UNIT.
(US$)
✅CF]]*'📋 Datos Generales'!$E$19</f>
        <v>0</v>
      </c>
      <c r="X80" s="284">
        <f>TABLA_BASE[[#This Row],[IGV UNIT.
(S/.)]]*TABLA_BASE[[#This Row],[CANTIDAD
(unid.)]]</f>
        <v>0</v>
      </c>
      <c r="Y80" s="284">
        <f>TABLA_BASE[[#This Row],[PERCEP.
UNIT.(US$)
✅CF]]*'📋 Datos Generales'!$E$19</f>
        <v>0</v>
      </c>
      <c r="Z80" s="284">
        <f>TABLA_BASE[[#This Row],[PERCEP.
UNIT.(S/.)]]*TABLA_BASE[[#This Row],[CANTIDAD
(unid.)]]</f>
        <v>0</v>
      </c>
      <c r="AA80" s="282">
        <f>TABLA_BASE[[#This Row],[ADV UNIT.
(US$)
⚠️COSTO]]+TABLA_BASE[[#This Row],[IPM UNIT.
(US$)
✅CF]]+TABLA_BASE[[#This Row],[IGV UNIT.
(US$)
✅CF]]+TABLA_BASE[[#This Row],[PERCEP.
UNIT.(US$)
✅CF]]</f>
        <v>0</v>
      </c>
      <c r="AB80" s="282">
        <f>TABLA_BASE[[#This Row],[TOTAL PAGO
SUNAT
UNIT.(US$)]]*TABLA_BASE[[#This Row],[CANTIDAD
(unid.)]]</f>
        <v>0</v>
      </c>
      <c r="AC80" s="284">
        <f>TABLA_BASE[[#This Row],[TOTAL PAGO
SUNAT
UNIT.(US$)]]*'📋 Datos Generales'!$E$19</f>
        <v>0</v>
      </c>
      <c r="AD80" s="284">
        <f>TABLA_BASE[[#This Row],[TOTAL TRIB.
UNIT.(S/.)]]*TABLA_BASE[[#This Row],[CANTIDAD
(unid.)]]</f>
        <v>0</v>
      </c>
      <c r="AE80" s="282">
        <f>IF('🧾 Factura Comercial'!G82=0,0,'📦 Gastos Importación'!$E$28*(IF('🧾 Tributos Aduana'!$F$6=0,0,'🧾 Factura Comercial'!I82/'🧾 Tributos Aduana'!$F$6))/'🧾 Factura Comercial'!G82)</f>
        <v>0</v>
      </c>
      <c r="AF80" s="282">
        <f>TABLA_BASE[[#This Row],[GASTOS IMP.
UNIT.(US$)]]*TABLA_BASE[[#This Row],[CANTIDAD
(unid.)]]</f>
        <v>0</v>
      </c>
      <c r="AG80" s="284">
        <f>TABLA_BASE[[#This Row],[GASTOS IMP.
UNIT.(US$)]]*'📋 Datos Generales'!$E$19</f>
        <v>0</v>
      </c>
      <c r="AH80" s="284">
        <f>TABLA_BASE[[#This Row],[GASTOS IMP.
UNIT.(S/.)]]*TABLA_BASE[[#This Row],[CANTIDAD
(unid.)]]</f>
        <v>0</v>
      </c>
      <c r="AI80" s="283">
        <f>'🧮 Costos x Producto'!J84</f>
        <v>0</v>
      </c>
      <c r="AJ80" s="282">
        <f>'🧮 Costos x Producto'!K84</f>
        <v>0</v>
      </c>
      <c r="AK80" s="282">
        <f>IF('🧾 Factura Comercial'!G82=0,0,'🧾 Tributos Aduana'!$F$17*(IF('🧾 Tributos Aduana'!$F$6=0,0,'🧾 Factura Comercial'!I82/'🧾 Tributos Aduana'!$F$6))/'🧾 Factura Comercial'!G82)</f>
        <v>0</v>
      </c>
      <c r="AL80" s="282">
        <f>IF('🧾 Factura Comercial'!G82=0,0,'🏦 Crédito Fiscal'!$C$16*(IF('🧾 Tributos Aduana'!$F$6=0,0,'🧾 Factura Comercial'!I82/'🧾 Tributos Aduana'!$F$6))/'🧾 Factura Comercial'!G82)</f>
        <v>0</v>
      </c>
      <c r="AM80" s="284">
        <f>TABLA_BASE[[#This Row],[CF UNIT.
✅RECUP.
(US$)]]*'📋 Datos Generales'!$E$19</f>
        <v>0</v>
      </c>
      <c r="AN80" s="281">
        <f>TABLA_BASE[[#This Row],[CF UNIT.
✅RECUP.(S/.)]]*TABLA_BASE[[#This Row],[CANTIDAD
(unid.)]]</f>
        <v>0</v>
      </c>
      <c r="AO80" s="298">
        <f>'💰 Precio de Venta'!G85</f>
        <v>0</v>
      </c>
      <c r="AP80" s="284">
        <f>'💰 Precio de Venta'!H85</f>
        <v>0</v>
      </c>
      <c r="AQ80" s="284">
        <f>'💰 Precio de Venta'!I85</f>
        <v>0</v>
      </c>
      <c r="AR80" s="281">
        <f>'💰 Precio de Venta'!J85</f>
        <v>0</v>
      </c>
      <c r="AS80" s="300">
        <f>'💰 Precio de Venta'!K85</f>
        <v>0</v>
      </c>
      <c r="AT80" s="281">
        <f>TABLA_BASE[[#This Row],[GANANCIA
UNIT.(S/.)]]*'🧾 Factura Comercial'!G82</f>
        <v>0</v>
      </c>
      <c r="AU80" s="280">
        <f>IF(TABLA_BASE[[#This Row],[PRECIO VTA.
c/IGV(S/.)]]=0,0,TABLA_BASE[[#This Row],[GANANCIA
UNIT.(S/.)]]/TABLA_BASE[[#This Row],[PRECIO VTA.
c/IGV(S/.)]])</f>
        <v>0</v>
      </c>
      <c r="AV80" s="280">
        <f>IF(TABLA_BASE[[#This Row],[C/M UNIT.
(S/.)]]=0,0,TABLA_BASE[[#This Row],[GANANCIA
UNIT.(S/.)]]/TABLA_BASE[[#This Row],[C/M UNIT.
(S/.)]])</f>
        <v>0</v>
      </c>
      <c r="AW80" s="277" t="str">
        <f>IF(TABLA_BASE[[#This Row],[MARGEN
%]]&gt;=0.5,"🟢 ALTO",IF(TABLA_BASE[[#This Row],[MARGEN
%]]&gt;=0.3,"🟡 MEDIO","🔴 BAJO"))</f>
        <v>🔴 BAJO</v>
      </c>
    </row>
    <row r="81" spans="1:49" ht="16.5" hidden="1" thickTop="1" thickBot="1" x14ac:dyDescent="0.3">
      <c r="A81" s="277">
        <f>'🧾 Factura Comercial'!E83</f>
        <v>0</v>
      </c>
      <c r="B81" s="277">
        <f>'🧾 Factura Comercial'!F83</f>
        <v>0</v>
      </c>
      <c r="C81" s="278">
        <f>'🧾 Factura Comercial'!G83</f>
        <v>0</v>
      </c>
      <c r="D81" s="279">
        <f>'🧾 Factura Comercial'!H83</f>
        <v>0</v>
      </c>
      <c r="E81" s="279">
        <f>'🧾 Factura Comercial'!I83</f>
        <v>0</v>
      </c>
      <c r="F81" s="280">
        <f>IF('🧾 Tributos Aduana'!$F$6=0,0,'🧾 Factura Comercial'!I83/'🧾 Tributos Aduana'!$F$6)</f>
        <v>0</v>
      </c>
      <c r="G81" s="281">
        <f>'🧾 Factura Comercial'!H83*'📋 Datos Generales'!$E$19</f>
        <v>0</v>
      </c>
      <c r="H81" s="281">
        <f>TABLA_BASE[[#This Row],[FOB UNIT.
(S/.)]]*TABLA_BASE[[#This Row],[CANTIDAD
(unid.)]]</f>
        <v>0</v>
      </c>
      <c r="I81" s="283">
        <f>IF('🧾 Tributos Aduana'!$F$6=0,0,'🧾 Tributos Aduana'!$F$17*('🧾 Factura Comercial'!H83/'🧾 Tributos Aduana'!$F$6))</f>
        <v>0</v>
      </c>
      <c r="J81" s="283">
        <f>TABLA_BASE[[#This Row],[ADV UNIT.
(US$)
⚠️COSTO]]*TABLA_BASE[[#This Row],[CANTIDAD
(unid.)]]</f>
        <v>0</v>
      </c>
      <c r="K81" s="282">
        <f>IF('🧾 Tributos Aduana'!$F$6=0,0,'🧾 Tributos Aduana'!$F$18*('🧾 Factura Comercial'!H83/'🧾 Tributos Aduana'!$F$6))</f>
        <v>0</v>
      </c>
      <c r="L81" s="283">
        <f>TABLA_BASE[[#This Row],[IPM UNIT.
(US$)
✅CF]]*TABLA_BASE[[#This Row],[CANTIDAD
(unid.)]]</f>
        <v>0</v>
      </c>
      <c r="M81" s="282">
        <f>IF('🧾 Tributos Aduana'!$F$6=0,0,'🧾 Tributos Aduana'!$F$19*('🧾 Factura Comercial'!H83/'🧾 Tributos Aduana'!$F$6))</f>
        <v>0</v>
      </c>
      <c r="N81" s="283">
        <f>TABLA_BASE[[#This Row],[IGV UNIT.
(US$)
✅CF]]*TABLA_BASE[[#This Row],[CANTIDAD
(unid.)]]</f>
        <v>0</v>
      </c>
      <c r="O81" s="283">
        <f>IF('🧾 Tributos Aduana'!$F$6=0,0,'🧾 Tributos Aduana'!$F$23*('🧾 Factura Comercial'!H83/'🧾 Tributos Aduana'!$F$6))</f>
        <v>0</v>
      </c>
      <c r="P81" s="283">
        <f>TABLA_BASE[[#This Row],[PERCEP.
UNIT.(US$)
✅CF]]*TABLA_BASE[[#This Row],[CANTIDAD
(unid.)]]</f>
        <v>0</v>
      </c>
      <c r="Q81" s="282">
        <f>TABLA_BASE[[#This Row],[ADV UNIT.
(US$)
⚠️COSTO]]+TABLA_BASE[[#This Row],[IPM UNIT.
(US$)
✅CF]]+TABLA_BASE[[#This Row],[IGV UNIT.
(US$)
✅CF]]</f>
        <v>0</v>
      </c>
      <c r="R81" s="283">
        <f>TABLA_BASE[[#This Row],[DEUDA
ADUANERA
UNIT.]]*TABLA_BASE[[#This Row],[CANTIDAD
(unid.)]]</f>
        <v>0</v>
      </c>
      <c r="S81" s="284">
        <f>TABLA_BASE[[#This Row],[ADV UNIT.
(US$)
⚠️COSTO]]*'📋 Datos Generales'!$E$19</f>
        <v>0</v>
      </c>
      <c r="T81" s="284">
        <f>TABLA_BASE[[#This Row],[ADV UNIT.
(S/.)]]*TABLA_BASE[[#This Row],[CANTIDAD
(unid.)]]</f>
        <v>0</v>
      </c>
      <c r="U81" s="284">
        <f>TABLA_BASE[[#This Row],[IPM UNIT.
(US$)
✅CF]]*'📋 Datos Generales'!$E$19</f>
        <v>0</v>
      </c>
      <c r="V81" s="284">
        <f>TABLA_BASE[[#This Row],[IPM UNIT.
(S/.)]]*TABLA_BASE[[#This Row],[CANTIDAD
(unid.)]]</f>
        <v>0</v>
      </c>
      <c r="W81" s="284">
        <f>TABLA_BASE[[#This Row],[IGV UNIT.
(US$)
✅CF]]*'📋 Datos Generales'!$E$19</f>
        <v>0</v>
      </c>
      <c r="X81" s="284">
        <f>TABLA_BASE[[#This Row],[IGV UNIT.
(S/.)]]*TABLA_BASE[[#This Row],[CANTIDAD
(unid.)]]</f>
        <v>0</v>
      </c>
      <c r="Y81" s="284">
        <f>TABLA_BASE[[#This Row],[PERCEP.
UNIT.(US$)
✅CF]]*'📋 Datos Generales'!$E$19</f>
        <v>0</v>
      </c>
      <c r="Z81" s="284">
        <f>TABLA_BASE[[#This Row],[PERCEP.
UNIT.(S/.)]]*TABLA_BASE[[#This Row],[CANTIDAD
(unid.)]]</f>
        <v>0</v>
      </c>
      <c r="AA81" s="282">
        <f>TABLA_BASE[[#This Row],[ADV UNIT.
(US$)
⚠️COSTO]]+TABLA_BASE[[#This Row],[IPM UNIT.
(US$)
✅CF]]+TABLA_BASE[[#This Row],[IGV UNIT.
(US$)
✅CF]]+TABLA_BASE[[#This Row],[PERCEP.
UNIT.(US$)
✅CF]]</f>
        <v>0</v>
      </c>
      <c r="AB81" s="282">
        <f>TABLA_BASE[[#This Row],[TOTAL PAGO
SUNAT
UNIT.(US$)]]*TABLA_BASE[[#This Row],[CANTIDAD
(unid.)]]</f>
        <v>0</v>
      </c>
      <c r="AC81" s="284">
        <f>TABLA_BASE[[#This Row],[TOTAL PAGO
SUNAT
UNIT.(US$)]]*'📋 Datos Generales'!$E$19</f>
        <v>0</v>
      </c>
      <c r="AD81" s="284">
        <f>TABLA_BASE[[#This Row],[TOTAL TRIB.
UNIT.(S/.)]]*TABLA_BASE[[#This Row],[CANTIDAD
(unid.)]]</f>
        <v>0</v>
      </c>
      <c r="AE81" s="282">
        <f>IF('🧾 Factura Comercial'!G83=0,0,'📦 Gastos Importación'!$E$28*(IF('🧾 Tributos Aduana'!$F$6=0,0,'🧾 Factura Comercial'!I83/'🧾 Tributos Aduana'!$F$6))/'🧾 Factura Comercial'!G83)</f>
        <v>0</v>
      </c>
      <c r="AF81" s="282">
        <f>TABLA_BASE[[#This Row],[GASTOS IMP.
UNIT.(US$)]]*TABLA_BASE[[#This Row],[CANTIDAD
(unid.)]]</f>
        <v>0</v>
      </c>
      <c r="AG81" s="284">
        <f>TABLA_BASE[[#This Row],[GASTOS IMP.
UNIT.(US$)]]*'📋 Datos Generales'!$E$19</f>
        <v>0</v>
      </c>
      <c r="AH81" s="284">
        <f>TABLA_BASE[[#This Row],[GASTOS IMP.
UNIT.(S/.)]]*TABLA_BASE[[#This Row],[CANTIDAD
(unid.)]]</f>
        <v>0</v>
      </c>
      <c r="AI81" s="283">
        <f>'🧮 Costos x Producto'!J85</f>
        <v>0</v>
      </c>
      <c r="AJ81" s="282">
        <f>'🧮 Costos x Producto'!K85</f>
        <v>0</v>
      </c>
      <c r="AK81" s="282">
        <f>IF('🧾 Factura Comercial'!G83=0,0,'🧾 Tributos Aduana'!$F$17*(IF('🧾 Tributos Aduana'!$F$6=0,0,'🧾 Factura Comercial'!I83/'🧾 Tributos Aduana'!$F$6))/'🧾 Factura Comercial'!G83)</f>
        <v>0</v>
      </c>
      <c r="AL81" s="282">
        <f>IF('🧾 Factura Comercial'!G83=0,0,'🏦 Crédito Fiscal'!$C$16*(IF('🧾 Tributos Aduana'!$F$6=0,0,'🧾 Factura Comercial'!I83/'🧾 Tributos Aduana'!$F$6))/'🧾 Factura Comercial'!G83)</f>
        <v>0</v>
      </c>
      <c r="AM81" s="284">
        <f>TABLA_BASE[[#This Row],[CF UNIT.
✅RECUP.
(US$)]]*'📋 Datos Generales'!$E$19</f>
        <v>0</v>
      </c>
      <c r="AN81" s="281">
        <f>TABLA_BASE[[#This Row],[CF UNIT.
✅RECUP.(S/.)]]*TABLA_BASE[[#This Row],[CANTIDAD
(unid.)]]</f>
        <v>0</v>
      </c>
      <c r="AO81" s="298">
        <f>'💰 Precio de Venta'!G86</f>
        <v>0</v>
      </c>
      <c r="AP81" s="284">
        <f>'💰 Precio de Venta'!H86</f>
        <v>0</v>
      </c>
      <c r="AQ81" s="284">
        <f>'💰 Precio de Venta'!I86</f>
        <v>0</v>
      </c>
      <c r="AR81" s="281">
        <f>'💰 Precio de Venta'!J86</f>
        <v>0</v>
      </c>
      <c r="AS81" s="300">
        <f>'💰 Precio de Venta'!K86</f>
        <v>0</v>
      </c>
      <c r="AT81" s="281">
        <f>TABLA_BASE[[#This Row],[GANANCIA
UNIT.(S/.)]]*'🧾 Factura Comercial'!G83</f>
        <v>0</v>
      </c>
      <c r="AU81" s="280">
        <f>IF(TABLA_BASE[[#This Row],[PRECIO VTA.
c/IGV(S/.)]]=0,0,TABLA_BASE[[#This Row],[GANANCIA
UNIT.(S/.)]]/TABLA_BASE[[#This Row],[PRECIO VTA.
c/IGV(S/.)]])</f>
        <v>0</v>
      </c>
      <c r="AV81" s="280">
        <f>IF(TABLA_BASE[[#This Row],[C/M UNIT.
(S/.)]]=0,0,TABLA_BASE[[#This Row],[GANANCIA
UNIT.(S/.)]]/TABLA_BASE[[#This Row],[C/M UNIT.
(S/.)]])</f>
        <v>0</v>
      </c>
      <c r="AW81" s="277" t="str">
        <f>IF(TABLA_BASE[[#This Row],[MARGEN
%]]&gt;=0.5,"🟢 ALTO",IF(TABLA_BASE[[#This Row],[MARGEN
%]]&gt;=0.3,"🟡 MEDIO","🔴 BAJO"))</f>
        <v>🔴 BAJO</v>
      </c>
    </row>
    <row r="82" spans="1:49" ht="16.5" hidden="1" thickTop="1" thickBot="1" x14ac:dyDescent="0.3">
      <c r="A82" s="277">
        <f>'🧾 Factura Comercial'!E84</f>
        <v>0</v>
      </c>
      <c r="B82" s="277">
        <f>'🧾 Factura Comercial'!F84</f>
        <v>0</v>
      </c>
      <c r="C82" s="278">
        <f>'🧾 Factura Comercial'!G84</f>
        <v>0</v>
      </c>
      <c r="D82" s="279">
        <f>'🧾 Factura Comercial'!H84</f>
        <v>0</v>
      </c>
      <c r="E82" s="279">
        <f>'🧾 Factura Comercial'!I84</f>
        <v>0</v>
      </c>
      <c r="F82" s="280">
        <f>IF('🧾 Tributos Aduana'!$F$6=0,0,'🧾 Factura Comercial'!I84/'🧾 Tributos Aduana'!$F$6)</f>
        <v>0</v>
      </c>
      <c r="G82" s="281">
        <f>'🧾 Factura Comercial'!H84*'📋 Datos Generales'!$E$19</f>
        <v>0</v>
      </c>
      <c r="H82" s="281">
        <f>TABLA_BASE[[#This Row],[FOB UNIT.
(S/.)]]*TABLA_BASE[[#This Row],[CANTIDAD
(unid.)]]</f>
        <v>0</v>
      </c>
      <c r="I82" s="283">
        <f>IF('🧾 Tributos Aduana'!$F$6=0,0,'🧾 Tributos Aduana'!$F$17*('🧾 Factura Comercial'!H84/'🧾 Tributos Aduana'!$F$6))</f>
        <v>0</v>
      </c>
      <c r="J82" s="283">
        <f>TABLA_BASE[[#This Row],[ADV UNIT.
(US$)
⚠️COSTO]]*TABLA_BASE[[#This Row],[CANTIDAD
(unid.)]]</f>
        <v>0</v>
      </c>
      <c r="K82" s="282">
        <f>IF('🧾 Tributos Aduana'!$F$6=0,0,'🧾 Tributos Aduana'!$F$18*('🧾 Factura Comercial'!H84/'🧾 Tributos Aduana'!$F$6))</f>
        <v>0</v>
      </c>
      <c r="L82" s="283">
        <f>TABLA_BASE[[#This Row],[IPM UNIT.
(US$)
✅CF]]*TABLA_BASE[[#This Row],[CANTIDAD
(unid.)]]</f>
        <v>0</v>
      </c>
      <c r="M82" s="282">
        <f>IF('🧾 Tributos Aduana'!$F$6=0,0,'🧾 Tributos Aduana'!$F$19*('🧾 Factura Comercial'!H84/'🧾 Tributos Aduana'!$F$6))</f>
        <v>0</v>
      </c>
      <c r="N82" s="283">
        <f>TABLA_BASE[[#This Row],[IGV UNIT.
(US$)
✅CF]]*TABLA_BASE[[#This Row],[CANTIDAD
(unid.)]]</f>
        <v>0</v>
      </c>
      <c r="O82" s="283">
        <f>IF('🧾 Tributos Aduana'!$F$6=0,0,'🧾 Tributos Aduana'!$F$23*('🧾 Factura Comercial'!H84/'🧾 Tributos Aduana'!$F$6))</f>
        <v>0</v>
      </c>
      <c r="P82" s="283">
        <f>TABLA_BASE[[#This Row],[PERCEP.
UNIT.(US$)
✅CF]]*TABLA_BASE[[#This Row],[CANTIDAD
(unid.)]]</f>
        <v>0</v>
      </c>
      <c r="Q82" s="282">
        <f>TABLA_BASE[[#This Row],[ADV UNIT.
(US$)
⚠️COSTO]]+TABLA_BASE[[#This Row],[IPM UNIT.
(US$)
✅CF]]+TABLA_BASE[[#This Row],[IGV UNIT.
(US$)
✅CF]]</f>
        <v>0</v>
      </c>
      <c r="R82" s="283">
        <f>TABLA_BASE[[#This Row],[DEUDA
ADUANERA
UNIT.]]*TABLA_BASE[[#This Row],[CANTIDAD
(unid.)]]</f>
        <v>0</v>
      </c>
      <c r="S82" s="284">
        <f>TABLA_BASE[[#This Row],[ADV UNIT.
(US$)
⚠️COSTO]]*'📋 Datos Generales'!$E$19</f>
        <v>0</v>
      </c>
      <c r="T82" s="284">
        <f>TABLA_BASE[[#This Row],[ADV UNIT.
(S/.)]]*TABLA_BASE[[#This Row],[CANTIDAD
(unid.)]]</f>
        <v>0</v>
      </c>
      <c r="U82" s="284">
        <f>TABLA_BASE[[#This Row],[IPM UNIT.
(US$)
✅CF]]*'📋 Datos Generales'!$E$19</f>
        <v>0</v>
      </c>
      <c r="V82" s="284">
        <f>TABLA_BASE[[#This Row],[IPM UNIT.
(S/.)]]*TABLA_BASE[[#This Row],[CANTIDAD
(unid.)]]</f>
        <v>0</v>
      </c>
      <c r="W82" s="284">
        <f>TABLA_BASE[[#This Row],[IGV UNIT.
(US$)
✅CF]]*'📋 Datos Generales'!$E$19</f>
        <v>0</v>
      </c>
      <c r="X82" s="284">
        <f>TABLA_BASE[[#This Row],[IGV UNIT.
(S/.)]]*TABLA_BASE[[#This Row],[CANTIDAD
(unid.)]]</f>
        <v>0</v>
      </c>
      <c r="Y82" s="284">
        <f>TABLA_BASE[[#This Row],[PERCEP.
UNIT.(US$)
✅CF]]*'📋 Datos Generales'!$E$19</f>
        <v>0</v>
      </c>
      <c r="Z82" s="284">
        <f>TABLA_BASE[[#This Row],[PERCEP.
UNIT.(S/.)]]*TABLA_BASE[[#This Row],[CANTIDAD
(unid.)]]</f>
        <v>0</v>
      </c>
      <c r="AA82" s="282">
        <f>TABLA_BASE[[#This Row],[ADV UNIT.
(US$)
⚠️COSTO]]+TABLA_BASE[[#This Row],[IPM UNIT.
(US$)
✅CF]]+TABLA_BASE[[#This Row],[IGV UNIT.
(US$)
✅CF]]+TABLA_BASE[[#This Row],[PERCEP.
UNIT.(US$)
✅CF]]</f>
        <v>0</v>
      </c>
      <c r="AB82" s="282">
        <f>TABLA_BASE[[#This Row],[TOTAL PAGO
SUNAT
UNIT.(US$)]]*TABLA_BASE[[#This Row],[CANTIDAD
(unid.)]]</f>
        <v>0</v>
      </c>
      <c r="AC82" s="284">
        <f>TABLA_BASE[[#This Row],[TOTAL PAGO
SUNAT
UNIT.(US$)]]*'📋 Datos Generales'!$E$19</f>
        <v>0</v>
      </c>
      <c r="AD82" s="284">
        <f>TABLA_BASE[[#This Row],[TOTAL TRIB.
UNIT.(S/.)]]*TABLA_BASE[[#This Row],[CANTIDAD
(unid.)]]</f>
        <v>0</v>
      </c>
      <c r="AE82" s="282">
        <f>IF('🧾 Factura Comercial'!G84=0,0,'📦 Gastos Importación'!$E$28*(IF('🧾 Tributos Aduana'!$F$6=0,0,'🧾 Factura Comercial'!I84/'🧾 Tributos Aduana'!$F$6))/'🧾 Factura Comercial'!G84)</f>
        <v>0</v>
      </c>
      <c r="AF82" s="282">
        <f>TABLA_BASE[[#This Row],[GASTOS IMP.
UNIT.(US$)]]*TABLA_BASE[[#This Row],[CANTIDAD
(unid.)]]</f>
        <v>0</v>
      </c>
      <c r="AG82" s="284">
        <f>TABLA_BASE[[#This Row],[GASTOS IMP.
UNIT.(US$)]]*'📋 Datos Generales'!$E$19</f>
        <v>0</v>
      </c>
      <c r="AH82" s="284">
        <f>TABLA_BASE[[#This Row],[GASTOS IMP.
UNIT.(S/.)]]*TABLA_BASE[[#This Row],[CANTIDAD
(unid.)]]</f>
        <v>0</v>
      </c>
      <c r="AI82" s="283">
        <f>'🧮 Costos x Producto'!J86</f>
        <v>0</v>
      </c>
      <c r="AJ82" s="282">
        <f>'🧮 Costos x Producto'!K86</f>
        <v>0</v>
      </c>
      <c r="AK82" s="282">
        <f>IF('🧾 Factura Comercial'!G84=0,0,'🧾 Tributos Aduana'!$F$17*(IF('🧾 Tributos Aduana'!$F$6=0,0,'🧾 Factura Comercial'!I84/'🧾 Tributos Aduana'!$F$6))/'🧾 Factura Comercial'!G84)</f>
        <v>0</v>
      </c>
      <c r="AL82" s="282">
        <f>IF('🧾 Factura Comercial'!G84=0,0,'🏦 Crédito Fiscal'!$C$16*(IF('🧾 Tributos Aduana'!$F$6=0,0,'🧾 Factura Comercial'!I84/'🧾 Tributos Aduana'!$F$6))/'🧾 Factura Comercial'!G84)</f>
        <v>0</v>
      </c>
      <c r="AM82" s="284">
        <f>TABLA_BASE[[#This Row],[CF UNIT.
✅RECUP.
(US$)]]*'📋 Datos Generales'!$E$19</f>
        <v>0</v>
      </c>
      <c r="AN82" s="281">
        <f>TABLA_BASE[[#This Row],[CF UNIT.
✅RECUP.(S/.)]]*TABLA_BASE[[#This Row],[CANTIDAD
(unid.)]]</f>
        <v>0</v>
      </c>
      <c r="AO82" s="298">
        <f>'💰 Precio de Venta'!G87</f>
        <v>0</v>
      </c>
      <c r="AP82" s="284">
        <f>'💰 Precio de Venta'!H87</f>
        <v>0</v>
      </c>
      <c r="AQ82" s="284">
        <f>'💰 Precio de Venta'!I87</f>
        <v>0</v>
      </c>
      <c r="AR82" s="281">
        <f>'💰 Precio de Venta'!J87</f>
        <v>0</v>
      </c>
      <c r="AS82" s="300">
        <f>'💰 Precio de Venta'!K87</f>
        <v>0</v>
      </c>
      <c r="AT82" s="281">
        <f>TABLA_BASE[[#This Row],[GANANCIA
UNIT.(S/.)]]*'🧾 Factura Comercial'!G84</f>
        <v>0</v>
      </c>
      <c r="AU82" s="280">
        <f>IF(TABLA_BASE[[#This Row],[PRECIO VTA.
c/IGV(S/.)]]=0,0,TABLA_BASE[[#This Row],[GANANCIA
UNIT.(S/.)]]/TABLA_BASE[[#This Row],[PRECIO VTA.
c/IGV(S/.)]])</f>
        <v>0</v>
      </c>
      <c r="AV82" s="280">
        <f>IF(TABLA_BASE[[#This Row],[C/M UNIT.
(S/.)]]=0,0,TABLA_BASE[[#This Row],[GANANCIA
UNIT.(S/.)]]/TABLA_BASE[[#This Row],[C/M UNIT.
(S/.)]])</f>
        <v>0</v>
      </c>
      <c r="AW82" s="277" t="str">
        <f>IF(TABLA_BASE[[#This Row],[MARGEN
%]]&gt;=0.5,"🟢 ALTO",IF(TABLA_BASE[[#This Row],[MARGEN
%]]&gt;=0.3,"🟡 MEDIO","🔴 BAJO"))</f>
        <v>🔴 BAJO</v>
      </c>
    </row>
    <row r="83" spans="1:49" ht="16.5" hidden="1" thickTop="1" thickBot="1" x14ac:dyDescent="0.3">
      <c r="A83" s="277">
        <f>'🧾 Factura Comercial'!E85</f>
        <v>0</v>
      </c>
      <c r="B83" s="277">
        <f>'🧾 Factura Comercial'!F85</f>
        <v>0</v>
      </c>
      <c r="C83" s="278">
        <f>'🧾 Factura Comercial'!G85</f>
        <v>0</v>
      </c>
      <c r="D83" s="279">
        <f>'🧾 Factura Comercial'!H85</f>
        <v>0</v>
      </c>
      <c r="E83" s="279">
        <f>'🧾 Factura Comercial'!I85</f>
        <v>0</v>
      </c>
      <c r="F83" s="280">
        <f>IF('🧾 Tributos Aduana'!$F$6=0,0,'🧾 Factura Comercial'!I85/'🧾 Tributos Aduana'!$F$6)</f>
        <v>0</v>
      </c>
      <c r="G83" s="281">
        <f>'🧾 Factura Comercial'!H85*'📋 Datos Generales'!$E$19</f>
        <v>0</v>
      </c>
      <c r="H83" s="281">
        <f>TABLA_BASE[[#This Row],[FOB UNIT.
(S/.)]]*TABLA_BASE[[#This Row],[CANTIDAD
(unid.)]]</f>
        <v>0</v>
      </c>
      <c r="I83" s="283">
        <f>IF('🧾 Tributos Aduana'!$F$6=0,0,'🧾 Tributos Aduana'!$F$17*('🧾 Factura Comercial'!H85/'🧾 Tributos Aduana'!$F$6))</f>
        <v>0</v>
      </c>
      <c r="J83" s="283">
        <f>TABLA_BASE[[#This Row],[ADV UNIT.
(US$)
⚠️COSTO]]*TABLA_BASE[[#This Row],[CANTIDAD
(unid.)]]</f>
        <v>0</v>
      </c>
      <c r="K83" s="282">
        <f>IF('🧾 Tributos Aduana'!$F$6=0,0,'🧾 Tributos Aduana'!$F$18*('🧾 Factura Comercial'!H85/'🧾 Tributos Aduana'!$F$6))</f>
        <v>0</v>
      </c>
      <c r="L83" s="283">
        <f>TABLA_BASE[[#This Row],[IPM UNIT.
(US$)
✅CF]]*TABLA_BASE[[#This Row],[CANTIDAD
(unid.)]]</f>
        <v>0</v>
      </c>
      <c r="M83" s="282">
        <f>IF('🧾 Tributos Aduana'!$F$6=0,0,'🧾 Tributos Aduana'!$F$19*('🧾 Factura Comercial'!H85/'🧾 Tributos Aduana'!$F$6))</f>
        <v>0</v>
      </c>
      <c r="N83" s="283">
        <f>TABLA_BASE[[#This Row],[IGV UNIT.
(US$)
✅CF]]*TABLA_BASE[[#This Row],[CANTIDAD
(unid.)]]</f>
        <v>0</v>
      </c>
      <c r="O83" s="283">
        <f>IF('🧾 Tributos Aduana'!$F$6=0,0,'🧾 Tributos Aduana'!$F$23*('🧾 Factura Comercial'!H85/'🧾 Tributos Aduana'!$F$6))</f>
        <v>0</v>
      </c>
      <c r="P83" s="283">
        <f>TABLA_BASE[[#This Row],[PERCEP.
UNIT.(US$)
✅CF]]*TABLA_BASE[[#This Row],[CANTIDAD
(unid.)]]</f>
        <v>0</v>
      </c>
      <c r="Q83" s="282">
        <f>TABLA_BASE[[#This Row],[ADV UNIT.
(US$)
⚠️COSTO]]+TABLA_BASE[[#This Row],[IPM UNIT.
(US$)
✅CF]]+TABLA_BASE[[#This Row],[IGV UNIT.
(US$)
✅CF]]</f>
        <v>0</v>
      </c>
      <c r="R83" s="283">
        <f>TABLA_BASE[[#This Row],[DEUDA
ADUANERA
UNIT.]]*TABLA_BASE[[#This Row],[CANTIDAD
(unid.)]]</f>
        <v>0</v>
      </c>
      <c r="S83" s="284">
        <f>TABLA_BASE[[#This Row],[ADV UNIT.
(US$)
⚠️COSTO]]*'📋 Datos Generales'!$E$19</f>
        <v>0</v>
      </c>
      <c r="T83" s="284">
        <f>TABLA_BASE[[#This Row],[ADV UNIT.
(S/.)]]*TABLA_BASE[[#This Row],[CANTIDAD
(unid.)]]</f>
        <v>0</v>
      </c>
      <c r="U83" s="284">
        <f>TABLA_BASE[[#This Row],[IPM UNIT.
(US$)
✅CF]]*'📋 Datos Generales'!$E$19</f>
        <v>0</v>
      </c>
      <c r="V83" s="284">
        <f>TABLA_BASE[[#This Row],[IPM UNIT.
(S/.)]]*TABLA_BASE[[#This Row],[CANTIDAD
(unid.)]]</f>
        <v>0</v>
      </c>
      <c r="W83" s="284">
        <f>TABLA_BASE[[#This Row],[IGV UNIT.
(US$)
✅CF]]*'📋 Datos Generales'!$E$19</f>
        <v>0</v>
      </c>
      <c r="X83" s="284">
        <f>TABLA_BASE[[#This Row],[IGV UNIT.
(S/.)]]*TABLA_BASE[[#This Row],[CANTIDAD
(unid.)]]</f>
        <v>0</v>
      </c>
      <c r="Y83" s="284">
        <f>TABLA_BASE[[#This Row],[PERCEP.
UNIT.(US$)
✅CF]]*'📋 Datos Generales'!$E$19</f>
        <v>0</v>
      </c>
      <c r="Z83" s="284">
        <f>TABLA_BASE[[#This Row],[PERCEP.
UNIT.(S/.)]]*TABLA_BASE[[#This Row],[CANTIDAD
(unid.)]]</f>
        <v>0</v>
      </c>
      <c r="AA83" s="282">
        <f>TABLA_BASE[[#This Row],[ADV UNIT.
(US$)
⚠️COSTO]]+TABLA_BASE[[#This Row],[IPM UNIT.
(US$)
✅CF]]+TABLA_BASE[[#This Row],[IGV UNIT.
(US$)
✅CF]]+TABLA_BASE[[#This Row],[PERCEP.
UNIT.(US$)
✅CF]]</f>
        <v>0</v>
      </c>
      <c r="AB83" s="282">
        <f>TABLA_BASE[[#This Row],[TOTAL PAGO
SUNAT
UNIT.(US$)]]*TABLA_BASE[[#This Row],[CANTIDAD
(unid.)]]</f>
        <v>0</v>
      </c>
      <c r="AC83" s="284">
        <f>TABLA_BASE[[#This Row],[TOTAL PAGO
SUNAT
UNIT.(US$)]]*'📋 Datos Generales'!$E$19</f>
        <v>0</v>
      </c>
      <c r="AD83" s="284">
        <f>TABLA_BASE[[#This Row],[TOTAL TRIB.
UNIT.(S/.)]]*TABLA_BASE[[#This Row],[CANTIDAD
(unid.)]]</f>
        <v>0</v>
      </c>
      <c r="AE83" s="282">
        <f>IF('🧾 Factura Comercial'!G85=0,0,'📦 Gastos Importación'!$E$28*(IF('🧾 Tributos Aduana'!$F$6=0,0,'🧾 Factura Comercial'!I85/'🧾 Tributos Aduana'!$F$6))/'🧾 Factura Comercial'!G85)</f>
        <v>0</v>
      </c>
      <c r="AF83" s="282">
        <f>TABLA_BASE[[#This Row],[GASTOS IMP.
UNIT.(US$)]]*TABLA_BASE[[#This Row],[CANTIDAD
(unid.)]]</f>
        <v>0</v>
      </c>
      <c r="AG83" s="284">
        <f>TABLA_BASE[[#This Row],[GASTOS IMP.
UNIT.(US$)]]*'📋 Datos Generales'!$E$19</f>
        <v>0</v>
      </c>
      <c r="AH83" s="284">
        <f>TABLA_BASE[[#This Row],[GASTOS IMP.
UNIT.(S/.)]]*TABLA_BASE[[#This Row],[CANTIDAD
(unid.)]]</f>
        <v>0</v>
      </c>
      <c r="AI83" s="283">
        <f>'🧮 Costos x Producto'!J87</f>
        <v>0</v>
      </c>
      <c r="AJ83" s="282">
        <f>'🧮 Costos x Producto'!K87</f>
        <v>0</v>
      </c>
      <c r="AK83" s="282">
        <f>IF('🧾 Factura Comercial'!G85=0,0,'🧾 Tributos Aduana'!$F$17*(IF('🧾 Tributos Aduana'!$F$6=0,0,'🧾 Factura Comercial'!I85/'🧾 Tributos Aduana'!$F$6))/'🧾 Factura Comercial'!G85)</f>
        <v>0</v>
      </c>
      <c r="AL83" s="282">
        <f>IF('🧾 Factura Comercial'!G85=0,0,'🏦 Crédito Fiscal'!$C$16*(IF('🧾 Tributos Aduana'!$F$6=0,0,'🧾 Factura Comercial'!I85/'🧾 Tributos Aduana'!$F$6))/'🧾 Factura Comercial'!G85)</f>
        <v>0</v>
      </c>
      <c r="AM83" s="284">
        <f>TABLA_BASE[[#This Row],[CF UNIT.
✅RECUP.
(US$)]]*'📋 Datos Generales'!$E$19</f>
        <v>0</v>
      </c>
      <c r="AN83" s="281">
        <f>TABLA_BASE[[#This Row],[CF UNIT.
✅RECUP.(S/.)]]*TABLA_BASE[[#This Row],[CANTIDAD
(unid.)]]</f>
        <v>0</v>
      </c>
      <c r="AO83" s="298">
        <f>'💰 Precio de Venta'!G88</f>
        <v>0</v>
      </c>
      <c r="AP83" s="284">
        <f>'💰 Precio de Venta'!H88</f>
        <v>0</v>
      </c>
      <c r="AQ83" s="284">
        <f>'💰 Precio de Venta'!I88</f>
        <v>0</v>
      </c>
      <c r="AR83" s="281">
        <f>'💰 Precio de Venta'!J88</f>
        <v>0</v>
      </c>
      <c r="AS83" s="300">
        <f>'💰 Precio de Venta'!K88</f>
        <v>0</v>
      </c>
      <c r="AT83" s="281">
        <f>TABLA_BASE[[#This Row],[GANANCIA
UNIT.(S/.)]]*'🧾 Factura Comercial'!G85</f>
        <v>0</v>
      </c>
      <c r="AU83" s="280">
        <f>IF(TABLA_BASE[[#This Row],[PRECIO VTA.
c/IGV(S/.)]]=0,0,TABLA_BASE[[#This Row],[GANANCIA
UNIT.(S/.)]]/TABLA_BASE[[#This Row],[PRECIO VTA.
c/IGV(S/.)]])</f>
        <v>0</v>
      </c>
      <c r="AV83" s="280">
        <f>IF(TABLA_BASE[[#This Row],[C/M UNIT.
(S/.)]]=0,0,TABLA_BASE[[#This Row],[GANANCIA
UNIT.(S/.)]]/TABLA_BASE[[#This Row],[C/M UNIT.
(S/.)]])</f>
        <v>0</v>
      </c>
      <c r="AW83" s="277" t="str">
        <f>IF(TABLA_BASE[[#This Row],[MARGEN
%]]&gt;=0.5,"🟢 ALTO",IF(TABLA_BASE[[#This Row],[MARGEN
%]]&gt;=0.3,"🟡 MEDIO","🔴 BAJO"))</f>
        <v>🔴 BAJO</v>
      </c>
    </row>
    <row r="84" spans="1:49" ht="16.5" hidden="1" thickTop="1" thickBot="1" x14ac:dyDescent="0.3">
      <c r="A84" s="277">
        <f>'🧾 Factura Comercial'!E86</f>
        <v>0</v>
      </c>
      <c r="B84" s="277">
        <f>'🧾 Factura Comercial'!F86</f>
        <v>0</v>
      </c>
      <c r="C84" s="278">
        <f>'🧾 Factura Comercial'!G86</f>
        <v>0</v>
      </c>
      <c r="D84" s="279">
        <f>'🧾 Factura Comercial'!H86</f>
        <v>0</v>
      </c>
      <c r="E84" s="279">
        <f>'🧾 Factura Comercial'!I86</f>
        <v>0</v>
      </c>
      <c r="F84" s="280">
        <f>IF('🧾 Tributos Aduana'!$F$6=0,0,'🧾 Factura Comercial'!I86/'🧾 Tributos Aduana'!$F$6)</f>
        <v>0</v>
      </c>
      <c r="G84" s="281">
        <f>'🧾 Factura Comercial'!H86*'📋 Datos Generales'!$E$19</f>
        <v>0</v>
      </c>
      <c r="H84" s="281">
        <f>TABLA_BASE[[#This Row],[FOB UNIT.
(S/.)]]*TABLA_BASE[[#This Row],[CANTIDAD
(unid.)]]</f>
        <v>0</v>
      </c>
      <c r="I84" s="283">
        <f>IF('🧾 Tributos Aduana'!$F$6=0,0,'🧾 Tributos Aduana'!$F$17*('🧾 Factura Comercial'!H86/'🧾 Tributos Aduana'!$F$6))</f>
        <v>0</v>
      </c>
      <c r="J84" s="283">
        <f>TABLA_BASE[[#This Row],[ADV UNIT.
(US$)
⚠️COSTO]]*TABLA_BASE[[#This Row],[CANTIDAD
(unid.)]]</f>
        <v>0</v>
      </c>
      <c r="K84" s="282">
        <f>IF('🧾 Tributos Aduana'!$F$6=0,0,'🧾 Tributos Aduana'!$F$18*('🧾 Factura Comercial'!H86/'🧾 Tributos Aduana'!$F$6))</f>
        <v>0</v>
      </c>
      <c r="L84" s="283">
        <f>TABLA_BASE[[#This Row],[IPM UNIT.
(US$)
✅CF]]*TABLA_BASE[[#This Row],[CANTIDAD
(unid.)]]</f>
        <v>0</v>
      </c>
      <c r="M84" s="282">
        <f>IF('🧾 Tributos Aduana'!$F$6=0,0,'🧾 Tributos Aduana'!$F$19*('🧾 Factura Comercial'!H86/'🧾 Tributos Aduana'!$F$6))</f>
        <v>0</v>
      </c>
      <c r="N84" s="283">
        <f>TABLA_BASE[[#This Row],[IGV UNIT.
(US$)
✅CF]]*TABLA_BASE[[#This Row],[CANTIDAD
(unid.)]]</f>
        <v>0</v>
      </c>
      <c r="O84" s="283">
        <f>IF('🧾 Tributos Aduana'!$F$6=0,0,'🧾 Tributos Aduana'!$F$23*('🧾 Factura Comercial'!H86/'🧾 Tributos Aduana'!$F$6))</f>
        <v>0</v>
      </c>
      <c r="P84" s="283">
        <f>TABLA_BASE[[#This Row],[PERCEP.
UNIT.(US$)
✅CF]]*TABLA_BASE[[#This Row],[CANTIDAD
(unid.)]]</f>
        <v>0</v>
      </c>
      <c r="Q84" s="282">
        <f>TABLA_BASE[[#This Row],[ADV UNIT.
(US$)
⚠️COSTO]]+TABLA_BASE[[#This Row],[IPM UNIT.
(US$)
✅CF]]+TABLA_BASE[[#This Row],[IGV UNIT.
(US$)
✅CF]]</f>
        <v>0</v>
      </c>
      <c r="R84" s="283">
        <f>TABLA_BASE[[#This Row],[DEUDA
ADUANERA
UNIT.]]*TABLA_BASE[[#This Row],[CANTIDAD
(unid.)]]</f>
        <v>0</v>
      </c>
      <c r="S84" s="284">
        <f>TABLA_BASE[[#This Row],[ADV UNIT.
(US$)
⚠️COSTO]]*'📋 Datos Generales'!$E$19</f>
        <v>0</v>
      </c>
      <c r="T84" s="284">
        <f>TABLA_BASE[[#This Row],[ADV UNIT.
(S/.)]]*TABLA_BASE[[#This Row],[CANTIDAD
(unid.)]]</f>
        <v>0</v>
      </c>
      <c r="U84" s="284">
        <f>TABLA_BASE[[#This Row],[IPM UNIT.
(US$)
✅CF]]*'📋 Datos Generales'!$E$19</f>
        <v>0</v>
      </c>
      <c r="V84" s="284">
        <f>TABLA_BASE[[#This Row],[IPM UNIT.
(S/.)]]*TABLA_BASE[[#This Row],[CANTIDAD
(unid.)]]</f>
        <v>0</v>
      </c>
      <c r="W84" s="284">
        <f>TABLA_BASE[[#This Row],[IGV UNIT.
(US$)
✅CF]]*'📋 Datos Generales'!$E$19</f>
        <v>0</v>
      </c>
      <c r="X84" s="284">
        <f>TABLA_BASE[[#This Row],[IGV UNIT.
(S/.)]]*TABLA_BASE[[#This Row],[CANTIDAD
(unid.)]]</f>
        <v>0</v>
      </c>
      <c r="Y84" s="284">
        <f>TABLA_BASE[[#This Row],[PERCEP.
UNIT.(US$)
✅CF]]*'📋 Datos Generales'!$E$19</f>
        <v>0</v>
      </c>
      <c r="Z84" s="284">
        <f>TABLA_BASE[[#This Row],[PERCEP.
UNIT.(S/.)]]*TABLA_BASE[[#This Row],[CANTIDAD
(unid.)]]</f>
        <v>0</v>
      </c>
      <c r="AA84" s="282">
        <f>TABLA_BASE[[#This Row],[ADV UNIT.
(US$)
⚠️COSTO]]+TABLA_BASE[[#This Row],[IPM UNIT.
(US$)
✅CF]]+TABLA_BASE[[#This Row],[IGV UNIT.
(US$)
✅CF]]+TABLA_BASE[[#This Row],[PERCEP.
UNIT.(US$)
✅CF]]</f>
        <v>0</v>
      </c>
      <c r="AB84" s="282">
        <f>TABLA_BASE[[#This Row],[TOTAL PAGO
SUNAT
UNIT.(US$)]]*TABLA_BASE[[#This Row],[CANTIDAD
(unid.)]]</f>
        <v>0</v>
      </c>
      <c r="AC84" s="284">
        <f>TABLA_BASE[[#This Row],[TOTAL PAGO
SUNAT
UNIT.(US$)]]*'📋 Datos Generales'!$E$19</f>
        <v>0</v>
      </c>
      <c r="AD84" s="284">
        <f>TABLA_BASE[[#This Row],[TOTAL TRIB.
UNIT.(S/.)]]*TABLA_BASE[[#This Row],[CANTIDAD
(unid.)]]</f>
        <v>0</v>
      </c>
      <c r="AE84" s="282">
        <f>IF('🧾 Factura Comercial'!G86=0,0,'📦 Gastos Importación'!$E$28*(IF('🧾 Tributos Aduana'!$F$6=0,0,'🧾 Factura Comercial'!I86/'🧾 Tributos Aduana'!$F$6))/'🧾 Factura Comercial'!G86)</f>
        <v>0</v>
      </c>
      <c r="AF84" s="282">
        <f>TABLA_BASE[[#This Row],[GASTOS IMP.
UNIT.(US$)]]*TABLA_BASE[[#This Row],[CANTIDAD
(unid.)]]</f>
        <v>0</v>
      </c>
      <c r="AG84" s="284">
        <f>TABLA_BASE[[#This Row],[GASTOS IMP.
UNIT.(US$)]]*'📋 Datos Generales'!$E$19</f>
        <v>0</v>
      </c>
      <c r="AH84" s="284">
        <f>TABLA_BASE[[#This Row],[GASTOS IMP.
UNIT.(S/.)]]*TABLA_BASE[[#This Row],[CANTIDAD
(unid.)]]</f>
        <v>0</v>
      </c>
      <c r="AI84" s="283">
        <f>'🧮 Costos x Producto'!J88</f>
        <v>0</v>
      </c>
      <c r="AJ84" s="282">
        <f>'🧮 Costos x Producto'!K88</f>
        <v>0</v>
      </c>
      <c r="AK84" s="282">
        <f>IF('🧾 Factura Comercial'!G86=0,0,'🧾 Tributos Aduana'!$F$17*(IF('🧾 Tributos Aduana'!$F$6=0,0,'🧾 Factura Comercial'!I86/'🧾 Tributos Aduana'!$F$6))/'🧾 Factura Comercial'!G86)</f>
        <v>0</v>
      </c>
      <c r="AL84" s="282">
        <f>IF('🧾 Factura Comercial'!G86=0,0,'🏦 Crédito Fiscal'!$C$16*(IF('🧾 Tributos Aduana'!$F$6=0,0,'🧾 Factura Comercial'!I86/'🧾 Tributos Aduana'!$F$6))/'🧾 Factura Comercial'!G86)</f>
        <v>0</v>
      </c>
      <c r="AM84" s="284">
        <f>TABLA_BASE[[#This Row],[CF UNIT.
✅RECUP.
(US$)]]*'📋 Datos Generales'!$E$19</f>
        <v>0</v>
      </c>
      <c r="AN84" s="281">
        <f>TABLA_BASE[[#This Row],[CF UNIT.
✅RECUP.(S/.)]]*TABLA_BASE[[#This Row],[CANTIDAD
(unid.)]]</f>
        <v>0</v>
      </c>
      <c r="AO84" s="298">
        <f>'💰 Precio de Venta'!G89</f>
        <v>0</v>
      </c>
      <c r="AP84" s="284">
        <f>'💰 Precio de Venta'!H89</f>
        <v>0</v>
      </c>
      <c r="AQ84" s="284">
        <f>'💰 Precio de Venta'!I89</f>
        <v>0</v>
      </c>
      <c r="AR84" s="281">
        <f>'💰 Precio de Venta'!J89</f>
        <v>0</v>
      </c>
      <c r="AS84" s="300">
        <f>'💰 Precio de Venta'!K89</f>
        <v>0</v>
      </c>
      <c r="AT84" s="281">
        <f>TABLA_BASE[[#This Row],[GANANCIA
UNIT.(S/.)]]*'🧾 Factura Comercial'!G86</f>
        <v>0</v>
      </c>
      <c r="AU84" s="280">
        <f>IF(TABLA_BASE[[#This Row],[PRECIO VTA.
c/IGV(S/.)]]=0,0,TABLA_BASE[[#This Row],[GANANCIA
UNIT.(S/.)]]/TABLA_BASE[[#This Row],[PRECIO VTA.
c/IGV(S/.)]])</f>
        <v>0</v>
      </c>
      <c r="AV84" s="280">
        <f>IF(TABLA_BASE[[#This Row],[C/M UNIT.
(S/.)]]=0,0,TABLA_BASE[[#This Row],[GANANCIA
UNIT.(S/.)]]/TABLA_BASE[[#This Row],[C/M UNIT.
(S/.)]])</f>
        <v>0</v>
      </c>
      <c r="AW84" s="277" t="str">
        <f>IF(TABLA_BASE[[#This Row],[MARGEN
%]]&gt;=0.5,"🟢 ALTO",IF(TABLA_BASE[[#This Row],[MARGEN
%]]&gt;=0.3,"🟡 MEDIO","🔴 BAJO"))</f>
        <v>🔴 BAJO</v>
      </c>
    </row>
    <row r="85" spans="1:49" ht="16.5" hidden="1" thickTop="1" thickBot="1" x14ac:dyDescent="0.3">
      <c r="A85" s="277">
        <f>'🧾 Factura Comercial'!E87</f>
        <v>0</v>
      </c>
      <c r="B85" s="277">
        <f>'🧾 Factura Comercial'!F87</f>
        <v>0</v>
      </c>
      <c r="C85" s="278">
        <f>'🧾 Factura Comercial'!G87</f>
        <v>0</v>
      </c>
      <c r="D85" s="279">
        <f>'🧾 Factura Comercial'!H87</f>
        <v>0</v>
      </c>
      <c r="E85" s="279">
        <f>'🧾 Factura Comercial'!I87</f>
        <v>0</v>
      </c>
      <c r="F85" s="280">
        <f>IF('🧾 Tributos Aduana'!$F$6=0,0,'🧾 Factura Comercial'!I87/'🧾 Tributos Aduana'!$F$6)</f>
        <v>0</v>
      </c>
      <c r="G85" s="281">
        <f>'🧾 Factura Comercial'!H87*'📋 Datos Generales'!$E$19</f>
        <v>0</v>
      </c>
      <c r="H85" s="281">
        <f>TABLA_BASE[[#This Row],[FOB UNIT.
(S/.)]]*TABLA_BASE[[#This Row],[CANTIDAD
(unid.)]]</f>
        <v>0</v>
      </c>
      <c r="I85" s="283">
        <f>IF('🧾 Tributos Aduana'!$F$6=0,0,'🧾 Tributos Aduana'!$F$17*('🧾 Factura Comercial'!H87/'🧾 Tributos Aduana'!$F$6))</f>
        <v>0</v>
      </c>
      <c r="J85" s="283">
        <f>TABLA_BASE[[#This Row],[ADV UNIT.
(US$)
⚠️COSTO]]*TABLA_BASE[[#This Row],[CANTIDAD
(unid.)]]</f>
        <v>0</v>
      </c>
      <c r="K85" s="282">
        <f>IF('🧾 Tributos Aduana'!$F$6=0,0,'🧾 Tributos Aduana'!$F$18*('🧾 Factura Comercial'!H87/'🧾 Tributos Aduana'!$F$6))</f>
        <v>0</v>
      </c>
      <c r="L85" s="283">
        <f>TABLA_BASE[[#This Row],[IPM UNIT.
(US$)
✅CF]]*TABLA_BASE[[#This Row],[CANTIDAD
(unid.)]]</f>
        <v>0</v>
      </c>
      <c r="M85" s="282">
        <f>IF('🧾 Tributos Aduana'!$F$6=0,0,'🧾 Tributos Aduana'!$F$19*('🧾 Factura Comercial'!H87/'🧾 Tributos Aduana'!$F$6))</f>
        <v>0</v>
      </c>
      <c r="N85" s="283">
        <f>TABLA_BASE[[#This Row],[IGV UNIT.
(US$)
✅CF]]*TABLA_BASE[[#This Row],[CANTIDAD
(unid.)]]</f>
        <v>0</v>
      </c>
      <c r="O85" s="283">
        <f>IF('🧾 Tributos Aduana'!$F$6=0,0,'🧾 Tributos Aduana'!$F$23*('🧾 Factura Comercial'!H87/'🧾 Tributos Aduana'!$F$6))</f>
        <v>0</v>
      </c>
      <c r="P85" s="283">
        <f>TABLA_BASE[[#This Row],[PERCEP.
UNIT.(US$)
✅CF]]*TABLA_BASE[[#This Row],[CANTIDAD
(unid.)]]</f>
        <v>0</v>
      </c>
      <c r="Q85" s="282">
        <f>TABLA_BASE[[#This Row],[ADV UNIT.
(US$)
⚠️COSTO]]+TABLA_BASE[[#This Row],[IPM UNIT.
(US$)
✅CF]]+TABLA_BASE[[#This Row],[IGV UNIT.
(US$)
✅CF]]</f>
        <v>0</v>
      </c>
      <c r="R85" s="283">
        <f>TABLA_BASE[[#This Row],[DEUDA
ADUANERA
UNIT.]]*TABLA_BASE[[#This Row],[CANTIDAD
(unid.)]]</f>
        <v>0</v>
      </c>
      <c r="S85" s="284">
        <f>TABLA_BASE[[#This Row],[ADV UNIT.
(US$)
⚠️COSTO]]*'📋 Datos Generales'!$E$19</f>
        <v>0</v>
      </c>
      <c r="T85" s="284">
        <f>TABLA_BASE[[#This Row],[ADV UNIT.
(S/.)]]*TABLA_BASE[[#This Row],[CANTIDAD
(unid.)]]</f>
        <v>0</v>
      </c>
      <c r="U85" s="284">
        <f>TABLA_BASE[[#This Row],[IPM UNIT.
(US$)
✅CF]]*'📋 Datos Generales'!$E$19</f>
        <v>0</v>
      </c>
      <c r="V85" s="284">
        <f>TABLA_BASE[[#This Row],[IPM UNIT.
(S/.)]]*TABLA_BASE[[#This Row],[CANTIDAD
(unid.)]]</f>
        <v>0</v>
      </c>
      <c r="W85" s="284">
        <f>TABLA_BASE[[#This Row],[IGV UNIT.
(US$)
✅CF]]*'📋 Datos Generales'!$E$19</f>
        <v>0</v>
      </c>
      <c r="X85" s="284">
        <f>TABLA_BASE[[#This Row],[IGV UNIT.
(S/.)]]*TABLA_BASE[[#This Row],[CANTIDAD
(unid.)]]</f>
        <v>0</v>
      </c>
      <c r="Y85" s="284">
        <f>TABLA_BASE[[#This Row],[PERCEP.
UNIT.(US$)
✅CF]]*'📋 Datos Generales'!$E$19</f>
        <v>0</v>
      </c>
      <c r="Z85" s="284">
        <f>TABLA_BASE[[#This Row],[PERCEP.
UNIT.(S/.)]]*TABLA_BASE[[#This Row],[CANTIDAD
(unid.)]]</f>
        <v>0</v>
      </c>
      <c r="AA85" s="282">
        <f>TABLA_BASE[[#This Row],[ADV UNIT.
(US$)
⚠️COSTO]]+TABLA_BASE[[#This Row],[IPM UNIT.
(US$)
✅CF]]+TABLA_BASE[[#This Row],[IGV UNIT.
(US$)
✅CF]]+TABLA_BASE[[#This Row],[PERCEP.
UNIT.(US$)
✅CF]]</f>
        <v>0</v>
      </c>
      <c r="AB85" s="282">
        <f>TABLA_BASE[[#This Row],[TOTAL PAGO
SUNAT
UNIT.(US$)]]*TABLA_BASE[[#This Row],[CANTIDAD
(unid.)]]</f>
        <v>0</v>
      </c>
      <c r="AC85" s="284">
        <f>TABLA_BASE[[#This Row],[TOTAL PAGO
SUNAT
UNIT.(US$)]]*'📋 Datos Generales'!$E$19</f>
        <v>0</v>
      </c>
      <c r="AD85" s="284">
        <f>TABLA_BASE[[#This Row],[TOTAL TRIB.
UNIT.(S/.)]]*TABLA_BASE[[#This Row],[CANTIDAD
(unid.)]]</f>
        <v>0</v>
      </c>
      <c r="AE85" s="282">
        <f>IF('🧾 Factura Comercial'!G87=0,0,'📦 Gastos Importación'!$E$28*(IF('🧾 Tributos Aduana'!$F$6=0,0,'🧾 Factura Comercial'!I87/'🧾 Tributos Aduana'!$F$6))/'🧾 Factura Comercial'!G87)</f>
        <v>0</v>
      </c>
      <c r="AF85" s="282">
        <f>TABLA_BASE[[#This Row],[GASTOS IMP.
UNIT.(US$)]]*TABLA_BASE[[#This Row],[CANTIDAD
(unid.)]]</f>
        <v>0</v>
      </c>
      <c r="AG85" s="284">
        <f>TABLA_BASE[[#This Row],[GASTOS IMP.
UNIT.(US$)]]*'📋 Datos Generales'!$E$19</f>
        <v>0</v>
      </c>
      <c r="AH85" s="284">
        <f>TABLA_BASE[[#This Row],[GASTOS IMP.
UNIT.(S/.)]]*TABLA_BASE[[#This Row],[CANTIDAD
(unid.)]]</f>
        <v>0</v>
      </c>
      <c r="AI85" s="283">
        <f>'🧮 Costos x Producto'!J89</f>
        <v>0</v>
      </c>
      <c r="AJ85" s="282">
        <f>'🧮 Costos x Producto'!K89</f>
        <v>0</v>
      </c>
      <c r="AK85" s="282">
        <f>IF('🧾 Factura Comercial'!G87=0,0,'🧾 Tributos Aduana'!$F$17*(IF('🧾 Tributos Aduana'!$F$6=0,0,'🧾 Factura Comercial'!I87/'🧾 Tributos Aduana'!$F$6))/'🧾 Factura Comercial'!G87)</f>
        <v>0</v>
      </c>
      <c r="AL85" s="282">
        <f>IF('🧾 Factura Comercial'!G87=0,0,'🏦 Crédito Fiscal'!$C$16*(IF('🧾 Tributos Aduana'!$F$6=0,0,'🧾 Factura Comercial'!I87/'🧾 Tributos Aduana'!$F$6))/'🧾 Factura Comercial'!G87)</f>
        <v>0</v>
      </c>
      <c r="AM85" s="284">
        <f>TABLA_BASE[[#This Row],[CF UNIT.
✅RECUP.
(US$)]]*'📋 Datos Generales'!$E$19</f>
        <v>0</v>
      </c>
      <c r="AN85" s="281">
        <f>TABLA_BASE[[#This Row],[CF UNIT.
✅RECUP.(S/.)]]*TABLA_BASE[[#This Row],[CANTIDAD
(unid.)]]</f>
        <v>0</v>
      </c>
      <c r="AO85" s="298">
        <f>'💰 Precio de Venta'!G90</f>
        <v>0</v>
      </c>
      <c r="AP85" s="284">
        <f>'💰 Precio de Venta'!H90</f>
        <v>0</v>
      </c>
      <c r="AQ85" s="284">
        <f>'💰 Precio de Venta'!I90</f>
        <v>0</v>
      </c>
      <c r="AR85" s="281">
        <f>'💰 Precio de Venta'!J90</f>
        <v>0</v>
      </c>
      <c r="AS85" s="300">
        <f>'💰 Precio de Venta'!K90</f>
        <v>0</v>
      </c>
      <c r="AT85" s="281">
        <f>TABLA_BASE[[#This Row],[GANANCIA
UNIT.(S/.)]]*'🧾 Factura Comercial'!G87</f>
        <v>0</v>
      </c>
      <c r="AU85" s="280">
        <f>IF(TABLA_BASE[[#This Row],[PRECIO VTA.
c/IGV(S/.)]]=0,0,TABLA_BASE[[#This Row],[GANANCIA
UNIT.(S/.)]]/TABLA_BASE[[#This Row],[PRECIO VTA.
c/IGV(S/.)]])</f>
        <v>0</v>
      </c>
      <c r="AV85" s="280">
        <f>IF(TABLA_BASE[[#This Row],[C/M UNIT.
(S/.)]]=0,0,TABLA_BASE[[#This Row],[GANANCIA
UNIT.(S/.)]]/TABLA_BASE[[#This Row],[C/M UNIT.
(S/.)]])</f>
        <v>0</v>
      </c>
      <c r="AW85" s="277" t="str">
        <f>IF(TABLA_BASE[[#This Row],[MARGEN
%]]&gt;=0.5,"🟢 ALTO",IF(TABLA_BASE[[#This Row],[MARGEN
%]]&gt;=0.3,"🟡 MEDIO","🔴 BAJO"))</f>
        <v>🔴 BAJO</v>
      </c>
    </row>
    <row r="86" spans="1:49" ht="16.5" hidden="1" thickTop="1" thickBot="1" x14ac:dyDescent="0.3">
      <c r="A86" s="277">
        <f>'🧾 Factura Comercial'!E88</f>
        <v>0</v>
      </c>
      <c r="B86" s="277">
        <f>'🧾 Factura Comercial'!F88</f>
        <v>0</v>
      </c>
      <c r="C86" s="278">
        <f>'🧾 Factura Comercial'!G88</f>
        <v>0</v>
      </c>
      <c r="D86" s="279">
        <f>'🧾 Factura Comercial'!H88</f>
        <v>0</v>
      </c>
      <c r="E86" s="279">
        <f>'🧾 Factura Comercial'!I88</f>
        <v>0</v>
      </c>
      <c r="F86" s="280">
        <f>IF('🧾 Tributos Aduana'!$F$6=0,0,'🧾 Factura Comercial'!I88/'🧾 Tributos Aduana'!$F$6)</f>
        <v>0</v>
      </c>
      <c r="G86" s="281">
        <f>'🧾 Factura Comercial'!H88*'📋 Datos Generales'!$E$19</f>
        <v>0</v>
      </c>
      <c r="H86" s="281">
        <f>TABLA_BASE[[#This Row],[FOB UNIT.
(S/.)]]*TABLA_BASE[[#This Row],[CANTIDAD
(unid.)]]</f>
        <v>0</v>
      </c>
      <c r="I86" s="283">
        <f>IF('🧾 Tributos Aduana'!$F$6=0,0,'🧾 Tributos Aduana'!$F$17*('🧾 Factura Comercial'!H88/'🧾 Tributos Aduana'!$F$6))</f>
        <v>0</v>
      </c>
      <c r="J86" s="283">
        <f>TABLA_BASE[[#This Row],[ADV UNIT.
(US$)
⚠️COSTO]]*TABLA_BASE[[#This Row],[CANTIDAD
(unid.)]]</f>
        <v>0</v>
      </c>
      <c r="K86" s="282">
        <f>IF('🧾 Tributos Aduana'!$F$6=0,0,'🧾 Tributos Aduana'!$F$18*('🧾 Factura Comercial'!H88/'🧾 Tributos Aduana'!$F$6))</f>
        <v>0</v>
      </c>
      <c r="L86" s="283">
        <f>TABLA_BASE[[#This Row],[IPM UNIT.
(US$)
✅CF]]*TABLA_BASE[[#This Row],[CANTIDAD
(unid.)]]</f>
        <v>0</v>
      </c>
      <c r="M86" s="282">
        <f>IF('🧾 Tributos Aduana'!$F$6=0,0,'🧾 Tributos Aduana'!$F$19*('🧾 Factura Comercial'!H88/'🧾 Tributos Aduana'!$F$6))</f>
        <v>0</v>
      </c>
      <c r="N86" s="283">
        <f>TABLA_BASE[[#This Row],[IGV UNIT.
(US$)
✅CF]]*TABLA_BASE[[#This Row],[CANTIDAD
(unid.)]]</f>
        <v>0</v>
      </c>
      <c r="O86" s="283">
        <f>IF('🧾 Tributos Aduana'!$F$6=0,0,'🧾 Tributos Aduana'!$F$23*('🧾 Factura Comercial'!H88/'🧾 Tributos Aduana'!$F$6))</f>
        <v>0</v>
      </c>
      <c r="P86" s="283">
        <f>TABLA_BASE[[#This Row],[PERCEP.
UNIT.(US$)
✅CF]]*TABLA_BASE[[#This Row],[CANTIDAD
(unid.)]]</f>
        <v>0</v>
      </c>
      <c r="Q86" s="282">
        <f>TABLA_BASE[[#This Row],[ADV UNIT.
(US$)
⚠️COSTO]]+TABLA_BASE[[#This Row],[IPM UNIT.
(US$)
✅CF]]+TABLA_BASE[[#This Row],[IGV UNIT.
(US$)
✅CF]]</f>
        <v>0</v>
      </c>
      <c r="R86" s="283">
        <f>TABLA_BASE[[#This Row],[DEUDA
ADUANERA
UNIT.]]*TABLA_BASE[[#This Row],[CANTIDAD
(unid.)]]</f>
        <v>0</v>
      </c>
      <c r="S86" s="284">
        <f>TABLA_BASE[[#This Row],[ADV UNIT.
(US$)
⚠️COSTO]]*'📋 Datos Generales'!$E$19</f>
        <v>0</v>
      </c>
      <c r="T86" s="284">
        <f>TABLA_BASE[[#This Row],[ADV UNIT.
(S/.)]]*TABLA_BASE[[#This Row],[CANTIDAD
(unid.)]]</f>
        <v>0</v>
      </c>
      <c r="U86" s="284">
        <f>TABLA_BASE[[#This Row],[IPM UNIT.
(US$)
✅CF]]*'📋 Datos Generales'!$E$19</f>
        <v>0</v>
      </c>
      <c r="V86" s="284">
        <f>TABLA_BASE[[#This Row],[IPM UNIT.
(S/.)]]*TABLA_BASE[[#This Row],[CANTIDAD
(unid.)]]</f>
        <v>0</v>
      </c>
      <c r="W86" s="284">
        <f>TABLA_BASE[[#This Row],[IGV UNIT.
(US$)
✅CF]]*'📋 Datos Generales'!$E$19</f>
        <v>0</v>
      </c>
      <c r="X86" s="284">
        <f>TABLA_BASE[[#This Row],[IGV UNIT.
(S/.)]]*TABLA_BASE[[#This Row],[CANTIDAD
(unid.)]]</f>
        <v>0</v>
      </c>
      <c r="Y86" s="284">
        <f>TABLA_BASE[[#This Row],[PERCEP.
UNIT.(US$)
✅CF]]*'📋 Datos Generales'!$E$19</f>
        <v>0</v>
      </c>
      <c r="Z86" s="284">
        <f>TABLA_BASE[[#This Row],[PERCEP.
UNIT.(S/.)]]*TABLA_BASE[[#This Row],[CANTIDAD
(unid.)]]</f>
        <v>0</v>
      </c>
      <c r="AA86" s="282">
        <f>TABLA_BASE[[#This Row],[ADV UNIT.
(US$)
⚠️COSTO]]+TABLA_BASE[[#This Row],[IPM UNIT.
(US$)
✅CF]]+TABLA_BASE[[#This Row],[IGV UNIT.
(US$)
✅CF]]+TABLA_BASE[[#This Row],[PERCEP.
UNIT.(US$)
✅CF]]</f>
        <v>0</v>
      </c>
      <c r="AB86" s="282">
        <f>TABLA_BASE[[#This Row],[TOTAL PAGO
SUNAT
UNIT.(US$)]]*TABLA_BASE[[#This Row],[CANTIDAD
(unid.)]]</f>
        <v>0</v>
      </c>
      <c r="AC86" s="284">
        <f>TABLA_BASE[[#This Row],[TOTAL PAGO
SUNAT
UNIT.(US$)]]*'📋 Datos Generales'!$E$19</f>
        <v>0</v>
      </c>
      <c r="AD86" s="284">
        <f>TABLA_BASE[[#This Row],[TOTAL TRIB.
UNIT.(S/.)]]*TABLA_BASE[[#This Row],[CANTIDAD
(unid.)]]</f>
        <v>0</v>
      </c>
      <c r="AE86" s="282">
        <f>IF('🧾 Factura Comercial'!G88=0,0,'📦 Gastos Importación'!$E$28*(IF('🧾 Tributos Aduana'!$F$6=0,0,'🧾 Factura Comercial'!I88/'🧾 Tributos Aduana'!$F$6))/'🧾 Factura Comercial'!G88)</f>
        <v>0</v>
      </c>
      <c r="AF86" s="282">
        <f>TABLA_BASE[[#This Row],[GASTOS IMP.
UNIT.(US$)]]*TABLA_BASE[[#This Row],[CANTIDAD
(unid.)]]</f>
        <v>0</v>
      </c>
      <c r="AG86" s="284">
        <f>TABLA_BASE[[#This Row],[GASTOS IMP.
UNIT.(US$)]]*'📋 Datos Generales'!$E$19</f>
        <v>0</v>
      </c>
      <c r="AH86" s="284">
        <f>TABLA_BASE[[#This Row],[GASTOS IMP.
UNIT.(S/.)]]*TABLA_BASE[[#This Row],[CANTIDAD
(unid.)]]</f>
        <v>0</v>
      </c>
      <c r="AI86" s="283">
        <f>'🧮 Costos x Producto'!J90</f>
        <v>0</v>
      </c>
      <c r="AJ86" s="282">
        <f>'🧮 Costos x Producto'!K90</f>
        <v>0</v>
      </c>
      <c r="AK86" s="282">
        <f>IF('🧾 Factura Comercial'!G88=0,0,'🧾 Tributos Aduana'!$F$17*(IF('🧾 Tributos Aduana'!$F$6=0,0,'🧾 Factura Comercial'!I88/'🧾 Tributos Aduana'!$F$6))/'🧾 Factura Comercial'!G88)</f>
        <v>0</v>
      </c>
      <c r="AL86" s="282">
        <f>IF('🧾 Factura Comercial'!G88=0,0,'🏦 Crédito Fiscal'!$C$16*(IF('🧾 Tributos Aduana'!$F$6=0,0,'🧾 Factura Comercial'!I88/'🧾 Tributos Aduana'!$F$6))/'🧾 Factura Comercial'!G88)</f>
        <v>0</v>
      </c>
      <c r="AM86" s="284">
        <f>TABLA_BASE[[#This Row],[CF UNIT.
✅RECUP.
(US$)]]*'📋 Datos Generales'!$E$19</f>
        <v>0</v>
      </c>
      <c r="AN86" s="281">
        <f>TABLA_BASE[[#This Row],[CF UNIT.
✅RECUP.(S/.)]]*TABLA_BASE[[#This Row],[CANTIDAD
(unid.)]]</f>
        <v>0</v>
      </c>
      <c r="AO86" s="298">
        <f>'💰 Precio de Venta'!G91</f>
        <v>0</v>
      </c>
      <c r="AP86" s="284">
        <f>'💰 Precio de Venta'!H91</f>
        <v>0</v>
      </c>
      <c r="AQ86" s="284">
        <f>'💰 Precio de Venta'!I91</f>
        <v>0</v>
      </c>
      <c r="AR86" s="281">
        <f>'💰 Precio de Venta'!J91</f>
        <v>0</v>
      </c>
      <c r="AS86" s="300">
        <f>'💰 Precio de Venta'!K91</f>
        <v>0</v>
      </c>
      <c r="AT86" s="281">
        <f>TABLA_BASE[[#This Row],[GANANCIA
UNIT.(S/.)]]*'🧾 Factura Comercial'!G88</f>
        <v>0</v>
      </c>
      <c r="AU86" s="280">
        <f>IF(TABLA_BASE[[#This Row],[PRECIO VTA.
c/IGV(S/.)]]=0,0,TABLA_BASE[[#This Row],[GANANCIA
UNIT.(S/.)]]/TABLA_BASE[[#This Row],[PRECIO VTA.
c/IGV(S/.)]])</f>
        <v>0</v>
      </c>
      <c r="AV86" s="280">
        <f>IF(TABLA_BASE[[#This Row],[C/M UNIT.
(S/.)]]=0,0,TABLA_BASE[[#This Row],[GANANCIA
UNIT.(S/.)]]/TABLA_BASE[[#This Row],[C/M UNIT.
(S/.)]])</f>
        <v>0</v>
      </c>
      <c r="AW86" s="277" t="str">
        <f>IF(TABLA_BASE[[#This Row],[MARGEN
%]]&gt;=0.5,"🟢 ALTO",IF(TABLA_BASE[[#This Row],[MARGEN
%]]&gt;=0.3,"🟡 MEDIO","🔴 BAJO"))</f>
        <v>🔴 BAJO</v>
      </c>
    </row>
    <row r="87" spans="1:49" ht="16.5" hidden="1" thickTop="1" thickBot="1" x14ac:dyDescent="0.3">
      <c r="A87" s="277">
        <f>'🧾 Factura Comercial'!E89</f>
        <v>0</v>
      </c>
      <c r="B87" s="277">
        <f>'🧾 Factura Comercial'!F89</f>
        <v>0</v>
      </c>
      <c r="C87" s="278">
        <f>'🧾 Factura Comercial'!G89</f>
        <v>0</v>
      </c>
      <c r="D87" s="279">
        <f>'🧾 Factura Comercial'!H89</f>
        <v>0</v>
      </c>
      <c r="E87" s="279">
        <f>'🧾 Factura Comercial'!I89</f>
        <v>0</v>
      </c>
      <c r="F87" s="280">
        <f>IF('🧾 Tributos Aduana'!$F$6=0,0,'🧾 Factura Comercial'!I89/'🧾 Tributos Aduana'!$F$6)</f>
        <v>0</v>
      </c>
      <c r="G87" s="281">
        <f>'🧾 Factura Comercial'!H89*'📋 Datos Generales'!$E$19</f>
        <v>0</v>
      </c>
      <c r="H87" s="281">
        <f>TABLA_BASE[[#This Row],[FOB UNIT.
(S/.)]]*TABLA_BASE[[#This Row],[CANTIDAD
(unid.)]]</f>
        <v>0</v>
      </c>
      <c r="I87" s="283">
        <f>IF('🧾 Tributos Aduana'!$F$6=0,0,'🧾 Tributos Aduana'!$F$17*('🧾 Factura Comercial'!H89/'🧾 Tributos Aduana'!$F$6))</f>
        <v>0</v>
      </c>
      <c r="J87" s="283">
        <f>TABLA_BASE[[#This Row],[ADV UNIT.
(US$)
⚠️COSTO]]*TABLA_BASE[[#This Row],[CANTIDAD
(unid.)]]</f>
        <v>0</v>
      </c>
      <c r="K87" s="282">
        <f>IF('🧾 Tributos Aduana'!$F$6=0,0,'🧾 Tributos Aduana'!$F$18*('🧾 Factura Comercial'!H89/'🧾 Tributos Aduana'!$F$6))</f>
        <v>0</v>
      </c>
      <c r="L87" s="283">
        <f>TABLA_BASE[[#This Row],[IPM UNIT.
(US$)
✅CF]]*TABLA_BASE[[#This Row],[CANTIDAD
(unid.)]]</f>
        <v>0</v>
      </c>
      <c r="M87" s="282">
        <f>IF('🧾 Tributos Aduana'!$F$6=0,0,'🧾 Tributos Aduana'!$F$19*('🧾 Factura Comercial'!H89/'🧾 Tributos Aduana'!$F$6))</f>
        <v>0</v>
      </c>
      <c r="N87" s="283">
        <f>TABLA_BASE[[#This Row],[IGV UNIT.
(US$)
✅CF]]*TABLA_BASE[[#This Row],[CANTIDAD
(unid.)]]</f>
        <v>0</v>
      </c>
      <c r="O87" s="283">
        <f>IF('🧾 Tributos Aduana'!$F$6=0,0,'🧾 Tributos Aduana'!$F$23*('🧾 Factura Comercial'!H89/'🧾 Tributos Aduana'!$F$6))</f>
        <v>0</v>
      </c>
      <c r="P87" s="283">
        <f>TABLA_BASE[[#This Row],[PERCEP.
UNIT.(US$)
✅CF]]*TABLA_BASE[[#This Row],[CANTIDAD
(unid.)]]</f>
        <v>0</v>
      </c>
      <c r="Q87" s="282">
        <f>TABLA_BASE[[#This Row],[ADV UNIT.
(US$)
⚠️COSTO]]+TABLA_BASE[[#This Row],[IPM UNIT.
(US$)
✅CF]]+TABLA_BASE[[#This Row],[IGV UNIT.
(US$)
✅CF]]</f>
        <v>0</v>
      </c>
      <c r="R87" s="283">
        <f>TABLA_BASE[[#This Row],[DEUDA
ADUANERA
UNIT.]]*TABLA_BASE[[#This Row],[CANTIDAD
(unid.)]]</f>
        <v>0</v>
      </c>
      <c r="S87" s="284">
        <f>TABLA_BASE[[#This Row],[ADV UNIT.
(US$)
⚠️COSTO]]*'📋 Datos Generales'!$E$19</f>
        <v>0</v>
      </c>
      <c r="T87" s="284">
        <f>TABLA_BASE[[#This Row],[ADV UNIT.
(S/.)]]*TABLA_BASE[[#This Row],[CANTIDAD
(unid.)]]</f>
        <v>0</v>
      </c>
      <c r="U87" s="284">
        <f>TABLA_BASE[[#This Row],[IPM UNIT.
(US$)
✅CF]]*'📋 Datos Generales'!$E$19</f>
        <v>0</v>
      </c>
      <c r="V87" s="284">
        <f>TABLA_BASE[[#This Row],[IPM UNIT.
(S/.)]]*TABLA_BASE[[#This Row],[CANTIDAD
(unid.)]]</f>
        <v>0</v>
      </c>
      <c r="W87" s="284">
        <f>TABLA_BASE[[#This Row],[IGV UNIT.
(US$)
✅CF]]*'📋 Datos Generales'!$E$19</f>
        <v>0</v>
      </c>
      <c r="X87" s="284">
        <f>TABLA_BASE[[#This Row],[IGV UNIT.
(S/.)]]*TABLA_BASE[[#This Row],[CANTIDAD
(unid.)]]</f>
        <v>0</v>
      </c>
      <c r="Y87" s="284">
        <f>TABLA_BASE[[#This Row],[PERCEP.
UNIT.(US$)
✅CF]]*'📋 Datos Generales'!$E$19</f>
        <v>0</v>
      </c>
      <c r="Z87" s="284">
        <f>TABLA_BASE[[#This Row],[PERCEP.
UNIT.(S/.)]]*TABLA_BASE[[#This Row],[CANTIDAD
(unid.)]]</f>
        <v>0</v>
      </c>
      <c r="AA87" s="282">
        <f>TABLA_BASE[[#This Row],[ADV UNIT.
(US$)
⚠️COSTO]]+TABLA_BASE[[#This Row],[IPM UNIT.
(US$)
✅CF]]+TABLA_BASE[[#This Row],[IGV UNIT.
(US$)
✅CF]]+TABLA_BASE[[#This Row],[PERCEP.
UNIT.(US$)
✅CF]]</f>
        <v>0</v>
      </c>
      <c r="AB87" s="282">
        <f>TABLA_BASE[[#This Row],[TOTAL PAGO
SUNAT
UNIT.(US$)]]*TABLA_BASE[[#This Row],[CANTIDAD
(unid.)]]</f>
        <v>0</v>
      </c>
      <c r="AC87" s="284">
        <f>TABLA_BASE[[#This Row],[TOTAL PAGO
SUNAT
UNIT.(US$)]]*'📋 Datos Generales'!$E$19</f>
        <v>0</v>
      </c>
      <c r="AD87" s="284">
        <f>TABLA_BASE[[#This Row],[TOTAL TRIB.
UNIT.(S/.)]]*TABLA_BASE[[#This Row],[CANTIDAD
(unid.)]]</f>
        <v>0</v>
      </c>
      <c r="AE87" s="282">
        <f>IF('🧾 Factura Comercial'!G89=0,0,'📦 Gastos Importación'!$E$28*(IF('🧾 Tributos Aduana'!$F$6=0,0,'🧾 Factura Comercial'!I89/'🧾 Tributos Aduana'!$F$6))/'🧾 Factura Comercial'!G89)</f>
        <v>0</v>
      </c>
      <c r="AF87" s="282">
        <f>TABLA_BASE[[#This Row],[GASTOS IMP.
UNIT.(US$)]]*TABLA_BASE[[#This Row],[CANTIDAD
(unid.)]]</f>
        <v>0</v>
      </c>
      <c r="AG87" s="284">
        <f>TABLA_BASE[[#This Row],[GASTOS IMP.
UNIT.(US$)]]*'📋 Datos Generales'!$E$19</f>
        <v>0</v>
      </c>
      <c r="AH87" s="284">
        <f>TABLA_BASE[[#This Row],[GASTOS IMP.
UNIT.(S/.)]]*TABLA_BASE[[#This Row],[CANTIDAD
(unid.)]]</f>
        <v>0</v>
      </c>
      <c r="AI87" s="283">
        <f>'🧮 Costos x Producto'!J91</f>
        <v>0</v>
      </c>
      <c r="AJ87" s="282">
        <f>'🧮 Costos x Producto'!K91</f>
        <v>0</v>
      </c>
      <c r="AK87" s="282">
        <f>IF('🧾 Factura Comercial'!G89=0,0,'🧾 Tributos Aduana'!$F$17*(IF('🧾 Tributos Aduana'!$F$6=0,0,'🧾 Factura Comercial'!I89/'🧾 Tributos Aduana'!$F$6))/'🧾 Factura Comercial'!G89)</f>
        <v>0</v>
      </c>
      <c r="AL87" s="282">
        <f>IF('🧾 Factura Comercial'!G89=0,0,'🏦 Crédito Fiscal'!$C$16*(IF('🧾 Tributos Aduana'!$F$6=0,0,'🧾 Factura Comercial'!I89/'🧾 Tributos Aduana'!$F$6))/'🧾 Factura Comercial'!G89)</f>
        <v>0</v>
      </c>
      <c r="AM87" s="284">
        <f>TABLA_BASE[[#This Row],[CF UNIT.
✅RECUP.
(US$)]]*'📋 Datos Generales'!$E$19</f>
        <v>0</v>
      </c>
      <c r="AN87" s="281">
        <f>TABLA_BASE[[#This Row],[CF UNIT.
✅RECUP.(S/.)]]*TABLA_BASE[[#This Row],[CANTIDAD
(unid.)]]</f>
        <v>0</v>
      </c>
      <c r="AO87" s="298">
        <f>'💰 Precio de Venta'!G92</f>
        <v>0</v>
      </c>
      <c r="AP87" s="284">
        <f>'💰 Precio de Venta'!H92</f>
        <v>0</v>
      </c>
      <c r="AQ87" s="284">
        <f>'💰 Precio de Venta'!I92</f>
        <v>0</v>
      </c>
      <c r="AR87" s="281">
        <f>'💰 Precio de Venta'!J92</f>
        <v>0</v>
      </c>
      <c r="AS87" s="300">
        <f>'💰 Precio de Venta'!K92</f>
        <v>0</v>
      </c>
      <c r="AT87" s="281">
        <f>TABLA_BASE[[#This Row],[GANANCIA
UNIT.(S/.)]]*'🧾 Factura Comercial'!G89</f>
        <v>0</v>
      </c>
      <c r="AU87" s="280">
        <f>IF(TABLA_BASE[[#This Row],[PRECIO VTA.
c/IGV(S/.)]]=0,0,TABLA_BASE[[#This Row],[GANANCIA
UNIT.(S/.)]]/TABLA_BASE[[#This Row],[PRECIO VTA.
c/IGV(S/.)]])</f>
        <v>0</v>
      </c>
      <c r="AV87" s="280">
        <f>IF(TABLA_BASE[[#This Row],[C/M UNIT.
(S/.)]]=0,0,TABLA_BASE[[#This Row],[GANANCIA
UNIT.(S/.)]]/TABLA_BASE[[#This Row],[C/M UNIT.
(S/.)]])</f>
        <v>0</v>
      </c>
      <c r="AW87" s="277" t="str">
        <f>IF(TABLA_BASE[[#This Row],[MARGEN
%]]&gt;=0.5,"🟢 ALTO",IF(TABLA_BASE[[#This Row],[MARGEN
%]]&gt;=0.3,"🟡 MEDIO","🔴 BAJO"))</f>
        <v>🔴 BAJO</v>
      </c>
    </row>
    <row r="88" spans="1:49" ht="16.5" hidden="1" thickTop="1" thickBot="1" x14ac:dyDescent="0.3">
      <c r="A88" s="277">
        <f>'🧾 Factura Comercial'!E90</f>
        <v>0</v>
      </c>
      <c r="B88" s="277">
        <f>'🧾 Factura Comercial'!F90</f>
        <v>0</v>
      </c>
      <c r="C88" s="278">
        <f>'🧾 Factura Comercial'!G90</f>
        <v>0</v>
      </c>
      <c r="D88" s="279">
        <f>'🧾 Factura Comercial'!H90</f>
        <v>0</v>
      </c>
      <c r="E88" s="279">
        <f>'🧾 Factura Comercial'!I90</f>
        <v>0</v>
      </c>
      <c r="F88" s="280">
        <f>IF('🧾 Tributos Aduana'!$F$6=0,0,'🧾 Factura Comercial'!I90/'🧾 Tributos Aduana'!$F$6)</f>
        <v>0</v>
      </c>
      <c r="G88" s="281">
        <f>'🧾 Factura Comercial'!H90*'📋 Datos Generales'!$E$19</f>
        <v>0</v>
      </c>
      <c r="H88" s="281">
        <f>TABLA_BASE[[#This Row],[FOB UNIT.
(S/.)]]*TABLA_BASE[[#This Row],[CANTIDAD
(unid.)]]</f>
        <v>0</v>
      </c>
      <c r="I88" s="283">
        <f>IF('🧾 Tributos Aduana'!$F$6=0,0,'🧾 Tributos Aduana'!$F$17*('🧾 Factura Comercial'!H90/'🧾 Tributos Aduana'!$F$6))</f>
        <v>0</v>
      </c>
      <c r="J88" s="283">
        <f>TABLA_BASE[[#This Row],[ADV UNIT.
(US$)
⚠️COSTO]]*TABLA_BASE[[#This Row],[CANTIDAD
(unid.)]]</f>
        <v>0</v>
      </c>
      <c r="K88" s="282">
        <f>IF('🧾 Tributos Aduana'!$F$6=0,0,'🧾 Tributos Aduana'!$F$18*('🧾 Factura Comercial'!H90/'🧾 Tributos Aduana'!$F$6))</f>
        <v>0</v>
      </c>
      <c r="L88" s="283">
        <f>TABLA_BASE[[#This Row],[IPM UNIT.
(US$)
✅CF]]*TABLA_BASE[[#This Row],[CANTIDAD
(unid.)]]</f>
        <v>0</v>
      </c>
      <c r="M88" s="282">
        <f>IF('🧾 Tributos Aduana'!$F$6=0,0,'🧾 Tributos Aduana'!$F$19*('🧾 Factura Comercial'!H90/'🧾 Tributos Aduana'!$F$6))</f>
        <v>0</v>
      </c>
      <c r="N88" s="283">
        <f>TABLA_BASE[[#This Row],[IGV UNIT.
(US$)
✅CF]]*TABLA_BASE[[#This Row],[CANTIDAD
(unid.)]]</f>
        <v>0</v>
      </c>
      <c r="O88" s="283">
        <f>IF('🧾 Tributos Aduana'!$F$6=0,0,'🧾 Tributos Aduana'!$F$23*('🧾 Factura Comercial'!H90/'🧾 Tributos Aduana'!$F$6))</f>
        <v>0</v>
      </c>
      <c r="P88" s="283">
        <f>TABLA_BASE[[#This Row],[PERCEP.
UNIT.(US$)
✅CF]]*TABLA_BASE[[#This Row],[CANTIDAD
(unid.)]]</f>
        <v>0</v>
      </c>
      <c r="Q88" s="282">
        <f>TABLA_BASE[[#This Row],[ADV UNIT.
(US$)
⚠️COSTO]]+TABLA_BASE[[#This Row],[IPM UNIT.
(US$)
✅CF]]+TABLA_BASE[[#This Row],[IGV UNIT.
(US$)
✅CF]]</f>
        <v>0</v>
      </c>
      <c r="R88" s="283">
        <f>TABLA_BASE[[#This Row],[DEUDA
ADUANERA
UNIT.]]*TABLA_BASE[[#This Row],[CANTIDAD
(unid.)]]</f>
        <v>0</v>
      </c>
      <c r="S88" s="284">
        <f>TABLA_BASE[[#This Row],[ADV UNIT.
(US$)
⚠️COSTO]]*'📋 Datos Generales'!$E$19</f>
        <v>0</v>
      </c>
      <c r="T88" s="284">
        <f>TABLA_BASE[[#This Row],[ADV UNIT.
(S/.)]]*TABLA_BASE[[#This Row],[CANTIDAD
(unid.)]]</f>
        <v>0</v>
      </c>
      <c r="U88" s="284">
        <f>TABLA_BASE[[#This Row],[IPM UNIT.
(US$)
✅CF]]*'📋 Datos Generales'!$E$19</f>
        <v>0</v>
      </c>
      <c r="V88" s="284">
        <f>TABLA_BASE[[#This Row],[IPM UNIT.
(S/.)]]*TABLA_BASE[[#This Row],[CANTIDAD
(unid.)]]</f>
        <v>0</v>
      </c>
      <c r="W88" s="284">
        <f>TABLA_BASE[[#This Row],[IGV UNIT.
(US$)
✅CF]]*'📋 Datos Generales'!$E$19</f>
        <v>0</v>
      </c>
      <c r="X88" s="284">
        <f>TABLA_BASE[[#This Row],[IGV UNIT.
(S/.)]]*TABLA_BASE[[#This Row],[CANTIDAD
(unid.)]]</f>
        <v>0</v>
      </c>
      <c r="Y88" s="284">
        <f>TABLA_BASE[[#This Row],[PERCEP.
UNIT.(US$)
✅CF]]*'📋 Datos Generales'!$E$19</f>
        <v>0</v>
      </c>
      <c r="Z88" s="284">
        <f>TABLA_BASE[[#This Row],[PERCEP.
UNIT.(S/.)]]*TABLA_BASE[[#This Row],[CANTIDAD
(unid.)]]</f>
        <v>0</v>
      </c>
      <c r="AA88" s="282">
        <f>TABLA_BASE[[#This Row],[ADV UNIT.
(US$)
⚠️COSTO]]+TABLA_BASE[[#This Row],[IPM UNIT.
(US$)
✅CF]]+TABLA_BASE[[#This Row],[IGV UNIT.
(US$)
✅CF]]+TABLA_BASE[[#This Row],[PERCEP.
UNIT.(US$)
✅CF]]</f>
        <v>0</v>
      </c>
      <c r="AB88" s="282">
        <f>TABLA_BASE[[#This Row],[TOTAL PAGO
SUNAT
UNIT.(US$)]]*TABLA_BASE[[#This Row],[CANTIDAD
(unid.)]]</f>
        <v>0</v>
      </c>
      <c r="AC88" s="284">
        <f>TABLA_BASE[[#This Row],[TOTAL PAGO
SUNAT
UNIT.(US$)]]*'📋 Datos Generales'!$E$19</f>
        <v>0</v>
      </c>
      <c r="AD88" s="284">
        <f>TABLA_BASE[[#This Row],[TOTAL TRIB.
UNIT.(S/.)]]*TABLA_BASE[[#This Row],[CANTIDAD
(unid.)]]</f>
        <v>0</v>
      </c>
      <c r="AE88" s="282">
        <f>IF('🧾 Factura Comercial'!G90=0,0,'📦 Gastos Importación'!$E$28*(IF('🧾 Tributos Aduana'!$F$6=0,0,'🧾 Factura Comercial'!I90/'🧾 Tributos Aduana'!$F$6))/'🧾 Factura Comercial'!G90)</f>
        <v>0</v>
      </c>
      <c r="AF88" s="282">
        <f>TABLA_BASE[[#This Row],[GASTOS IMP.
UNIT.(US$)]]*TABLA_BASE[[#This Row],[CANTIDAD
(unid.)]]</f>
        <v>0</v>
      </c>
      <c r="AG88" s="284">
        <f>TABLA_BASE[[#This Row],[GASTOS IMP.
UNIT.(US$)]]*'📋 Datos Generales'!$E$19</f>
        <v>0</v>
      </c>
      <c r="AH88" s="284">
        <f>TABLA_BASE[[#This Row],[GASTOS IMP.
UNIT.(S/.)]]*TABLA_BASE[[#This Row],[CANTIDAD
(unid.)]]</f>
        <v>0</v>
      </c>
      <c r="AI88" s="283">
        <f>'🧮 Costos x Producto'!J92</f>
        <v>0</v>
      </c>
      <c r="AJ88" s="282">
        <f>'🧮 Costos x Producto'!K92</f>
        <v>0</v>
      </c>
      <c r="AK88" s="282">
        <f>IF('🧾 Factura Comercial'!G90=0,0,'🧾 Tributos Aduana'!$F$17*(IF('🧾 Tributos Aduana'!$F$6=0,0,'🧾 Factura Comercial'!I90/'🧾 Tributos Aduana'!$F$6))/'🧾 Factura Comercial'!G90)</f>
        <v>0</v>
      </c>
      <c r="AL88" s="282">
        <f>IF('🧾 Factura Comercial'!G90=0,0,'🏦 Crédito Fiscal'!$C$16*(IF('🧾 Tributos Aduana'!$F$6=0,0,'🧾 Factura Comercial'!I90/'🧾 Tributos Aduana'!$F$6))/'🧾 Factura Comercial'!G90)</f>
        <v>0</v>
      </c>
      <c r="AM88" s="284">
        <f>TABLA_BASE[[#This Row],[CF UNIT.
✅RECUP.
(US$)]]*'📋 Datos Generales'!$E$19</f>
        <v>0</v>
      </c>
      <c r="AN88" s="281">
        <f>TABLA_BASE[[#This Row],[CF UNIT.
✅RECUP.(S/.)]]*TABLA_BASE[[#This Row],[CANTIDAD
(unid.)]]</f>
        <v>0</v>
      </c>
      <c r="AO88" s="298">
        <f>'💰 Precio de Venta'!G93</f>
        <v>0</v>
      </c>
      <c r="AP88" s="284">
        <f>'💰 Precio de Venta'!H93</f>
        <v>0</v>
      </c>
      <c r="AQ88" s="284">
        <f>'💰 Precio de Venta'!I93</f>
        <v>0</v>
      </c>
      <c r="AR88" s="281">
        <f>'💰 Precio de Venta'!J93</f>
        <v>0</v>
      </c>
      <c r="AS88" s="300">
        <f>'💰 Precio de Venta'!K93</f>
        <v>0</v>
      </c>
      <c r="AT88" s="281">
        <f>TABLA_BASE[[#This Row],[GANANCIA
UNIT.(S/.)]]*'🧾 Factura Comercial'!G90</f>
        <v>0</v>
      </c>
      <c r="AU88" s="280">
        <f>IF(TABLA_BASE[[#This Row],[PRECIO VTA.
c/IGV(S/.)]]=0,0,TABLA_BASE[[#This Row],[GANANCIA
UNIT.(S/.)]]/TABLA_BASE[[#This Row],[PRECIO VTA.
c/IGV(S/.)]])</f>
        <v>0</v>
      </c>
      <c r="AV88" s="280">
        <f>IF(TABLA_BASE[[#This Row],[C/M UNIT.
(S/.)]]=0,0,TABLA_BASE[[#This Row],[GANANCIA
UNIT.(S/.)]]/TABLA_BASE[[#This Row],[C/M UNIT.
(S/.)]])</f>
        <v>0</v>
      </c>
      <c r="AW88" s="277" t="str">
        <f>IF(TABLA_BASE[[#This Row],[MARGEN
%]]&gt;=0.5,"🟢 ALTO",IF(TABLA_BASE[[#This Row],[MARGEN
%]]&gt;=0.3,"🟡 MEDIO","🔴 BAJO"))</f>
        <v>🔴 BAJO</v>
      </c>
    </row>
    <row r="89" spans="1:49" ht="16.5" hidden="1" thickTop="1" thickBot="1" x14ac:dyDescent="0.3">
      <c r="A89" s="290">
        <f>'🧾 Factura Comercial'!E91</f>
        <v>0</v>
      </c>
      <c r="B89" s="290">
        <f>'🧾 Factura Comercial'!F91</f>
        <v>0</v>
      </c>
      <c r="C89" s="278">
        <f>'🧾 Factura Comercial'!G91</f>
        <v>0</v>
      </c>
      <c r="D89" s="285">
        <f>'🧾 Factura Comercial'!H91</f>
        <v>0</v>
      </c>
      <c r="E89" s="285">
        <f>'🧾 Factura Comercial'!I91</f>
        <v>0</v>
      </c>
      <c r="F89" s="286">
        <f>IF('🧾 Tributos Aduana'!$F$6=0,0,'🧾 Factura Comercial'!I91/'🧾 Tributos Aduana'!$F$6)</f>
        <v>0</v>
      </c>
      <c r="G89" s="287">
        <f>'🧾 Factura Comercial'!H91*'📋 Datos Generales'!$E$19</f>
        <v>0</v>
      </c>
      <c r="H89" s="287">
        <f>TABLA_BASE[[#This Row],[FOB UNIT.
(S/.)]]*TABLA_BASE[[#This Row],[CANTIDAD
(unid.)]]</f>
        <v>0</v>
      </c>
      <c r="I89" s="291">
        <f>IF('🧾 Tributos Aduana'!$F$6=0,0,'🧾 Tributos Aduana'!$F$17*('🧾 Factura Comercial'!H91/'🧾 Tributos Aduana'!$F$6))</f>
        <v>0</v>
      </c>
      <c r="J89" s="291">
        <f>TABLA_BASE[[#This Row],[ADV UNIT.
(US$)
⚠️COSTO]]*TABLA_BASE[[#This Row],[CANTIDAD
(unid.)]]</f>
        <v>0</v>
      </c>
      <c r="K89" s="288">
        <f>IF('🧾 Tributos Aduana'!$F$6=0,0,'🧾 Tributos Aduana'!$F$18*('🧾 Factura Comercial'!H91/'🧾 Tributos Aduana'!$F$6))</f>
        <v>0</v>
      </c>
      <c r="L89" s="291">
        <f>TABLA_BASE[[#This Row],[IPM UNIT.
(US$)
✅CF]]*TABLA_BASE[[#This Row],[CANTIDAD
(unid.)]]</f>
        <v>0</v>
      </c>
      <c r="M89" s="288">
        <f>IF('🧾 Tributos Aduana'!$F$6=0,0,'🧾 Tributos Aduana'!$F$19*('🧾 Factura Comercial'!H91/'🧾 Tributos Aduana'!$F$6))</f>
        <v>0</v>
      </c>
      <c r="N89" s="291">
        <f>TABLA_BASE[[#This Row],[IGV UNIT.
(US$)
✅CF]]*TABLA_BASE[[#This Row],[CANTIDAD
(unid.)]]</f>
        <v>0</v>
      </c>
      <c r="O89" s="291">
        <f>IF('🧾 Tributos Aduana'!$F$6=0,0,'🧾 Tributos Aduana'!$F$23*('🧾 Factura Comercial'!H91/'🧾 Tributos Aduana'!$F$6))</f>
        <v>0</v>
      </c>
      <c r="P89" s="291">
        <f>TABLA_BASE[[#This Row],[PERCEP.
UNIT.(US$)
✅CF]]*TABLA_BASE[[#This Row],[CANTIDAD
(unid.)]]</f>
        <v>0</v>
      </c>
      <c r="Q89" s="288">
        <f>TABLA_BASE[[#This Row],[ADV UNIT.
(US$)
⚠️COSTO]]+TABLA_BASE[[#This Row],[IPM UNIT.
(US$)
✅CF]]+TABLA_BASE[[#This Row],[IGV UNIT.
(US$)
✅CF]]</f>
        <v>0</v>
      </c>
      <c r="R89" s="291">
        <f>TABLA_BASE[[#This Row],[DEUDA
ADUANERA
UNIT.]]*TABLA_BASE[[#This Row],[CANTIDAD
(unid.)]]</f>
        <v>0</v>
      </c>
      <c r="S89" s="289">
        <f>TABLA_BASE[[#This Row],[ADV UNIT.
(US$)
⚠️COSTO]]*'📋 Datos Generales'!$E$19</f>
        <v>0</v>
      </c>
      <c r="T89" s="289">
        <f>TABLA_BASE[[#This Row],[ADV UNIT.
(S/.)]]*TABLA_BASE[[#This Row],[CANTIDAD
(unid.)]]</f>
        <v>0</v>
      </c>
      <c r="U89" s="289">
        <f>TABLA_BASE[[#This Row],[IPM UNIT.
(US$)
✅CF]]*'📋 Datos Generales'!$E$19</f>
        <v>0</v>
      </c>
      <c r="V89" s="289">
        <f>TABLA_BASE[[#This Row],[IPM UNIT.
(S/.)]]*TABLA_BASE[[#This Row],[CANTIDAD
(unid.)]]</f>
        <v>0</v>
      </c>
      <c r="W89" s="289">
        <f>TABLA_BASE[[#This Row],[IGV UNIT.
(US$)
✅CF]]*'📋 Datos Generales'!$E$19</f>
        <v>0</v>
      </c>
      <c r="X89" s="289">
        <f>TABLA_BASE[[#This Row],[IGV UNIT.
(S/.)]]*TABLA_BASE[[#This Row],[CANTIDAD
(unid.)]]</f>
        <v>0</v>
      </c>
      <c r="Y89" s="289">
        <f>TABLA_BASE[[#This Row],[PERCEP.
UNIT.(US$)
✅CF]]*'📋 Datos Generales'!$E$19</f>
        <v>0</v>
      </c>
      <c r="Z89" s="289">
        <f>TABLA_BASE[[#This Row],[PERCEP.
UNIT.(S/.)]]*TABLA_BASE[[#This Row],[CANTIDAD
(unid.)]]</f>
        <v>0</v>
      </c>
      <c r="AA89" s="288">
        <f>TABLA_BASE[[#This Row],[ADV UNIT.
(US$)
⚠️COSTO]]+TABLA_BASE[[#This Row],[IPM UNIT.
(US$)
✅CF]]+TABLA_BASE[[#This Row],[IGV UNIT.
(US$)
✅CF]]+TABLA_BASE[[#This Row],[PERCEP.
UNIT.(US$)
✅CF]]</f>
        <v>0</v>
      </c>
      <c r="AB89" s="288">
        <f>TABLA_BASE[[#This Row],[TOTAL PAGO
SUNAT
UNIT.(US$)]]*TABLA_BASE[[#This Row],[CANTIDAD
(unid.)]]</f>
        <v>0</v>
      </c>
      <c r="AC89" s="289">
        <f>TABLA_BASE[[#This Row],[TOTAL PAGO
SUNAT
UNIT.(US$)]]*'📋 Datos Generales'!$E$19</f>
        <v>0</v>
      </c>
      <c r="AD89" s="289">
        <f>TABLA_BASE[[#This Row],[TOTAL TRIB.
UNIT.(S/.)]]*TABLA_BASE[[#This Row],[CANTIDAD
(unid.)]]</f>
        <v>0</v>
      </c>
      <c r="AE89" s="288">
        <f>IF('🧾 Factura Comercial'!G91=0,0,'📦 Gastos Importación'!$E$28*(IF('🧾 Tributos Aduana'!$F$6=0,0,'🧾 Factura Comercial'!I91/'🧾 Tributos Aduana'!$F$6))/'🧾 Factura Comercial'!G91)</f>
        <v>0</v>
      </c>
      <c r="AF89" s="288">
        <f>TABLA_BASE[[#This Row],[GASTOS IMP.
UNIT.(US$)]]*TABLA_BASE[[#This Row],[CANTIDAD
(unid.)]]</f>
        <v>0</v>
      </c>
      <c r="AG89" s="289">
        <f>TABLA_BASE[[#This Row],[GASTOS IMP.
UNIT.(US$)]]*'📋 Datos Generales'!$E$19</f>
        <v>0</v>
      </c>
      <c r="AH89" s="289">
        <f>TABLA_BASE[[#This Row],[GASTOS IMP.
UNIT.(S/.)]]*TABLA_BASE[[#This Row],[CANTIDAD
(unid.)]]</f>
        <v>0</v>
      </c>
      <c r="AI89" s="291">
        <f>'🧮 Costos x Producto'!J93</f>
        <v>0</v>
      </c>
      <c r="AJ89" s="288">
        <f>'🧮 Costos x Producto'!K93</f>
        <v>0</v>
      </c>
      <c r="AK89" s="288">
        <f>IF('🧾 Factura Comercial'!G91=0,0,'🧾 Tributos Aduana'!$F$17*(IF('🧾 Tributos Aduana'!$F$6=0,0,'🧾 Factura Comercial'!I91/'🧾 Tributos Aduana'!$F$6))/'🧾 Factura Comercial'!G91)</f>
        <v>0</v>
      </c>
      <c r="AL89" s="288">
        <f>IF('🧾 Factura Comercial'!G91=0,0,'🏦 Crédito Fiscal'!$C$16*(IF('🧾 Tributos Aduana'!$F$6=0,0,'🧾 Factura Comercial'!I91/'🧾 Tributos Aduana'!$F$6))/'🧾 Factura Comercial'!G91)</f>
        <v>0</v>
      </c>
      <c r="AM89" s="284">
        <f>TABLA_BASE[[#This Row],[CF UNIT.
✅RECUP.
(US$)]]*'📋 Datos Generales'!$E$19</f>
        <v>0</v>
      </c>
      <c r="AN89" s="287">
        <f>TABLA_BASE[[#This Row],[CF UNIT.
✅RECUP.(S/.)]]*TABLA_BASE[[#This Row],[CANTIDAD
(unid.)]]</f>
        <v>0</v>
      </c>
      <c r="AO89" s="299">
        <f>'💰 Precio de Venta'!G94</f>
        <v>0</v>
      </c>
      <c r="AP89" s="289">
        <f>'💰 Precio de Venta'!H94</f>
        <v>0</v>
      </c>
      <c r="AQ89" s="284">
        <f>'💰 Precio de Venta'!I94</f>
        <v>0</v>
      </c>
      <c r="AR89" s="281">
        <f>'💰 Precio de Venta'!J94</f>
        <v>0</v>
      </c>
      <c r="AS89" s="300">
        <f>'💰 Precio de Venta'!K94</f>
        <v>0</v>
      </c>
      <c r="AT89" s="281">
        <f>TABLA_BASE[[#This Row],[GANANCIA
UNIT.(S/.)]]*'🧾 Factura Comercial'!G91</f>
        <v>0</v>
      </c>
      <c r="AU89" s="280">
        <f>IF(TABLA_BASE[[#This Row],[PRECIO VTA.
c/IGV(S/.)]]=0,0,TABLA_BASE[[#This Row],[GANANCIA
UNIT.(S/.)]]/TABLA_BASE[[#This Row],[PRECIO VTA.
c/IGV(S/.)]])</f>
        <v>0</v>
      </c>
      <c r="AV89" s="286">
        <f>IF(TABLA_BASE[[#This Row],[C/M UNIT.
(S/.)]]=0,0,TABLA_BASE[[#This Row],[GANANCIA
UNIT.(S/.)]]/TABLA_BASE[[#This Row],[C/M UNIT.
(S/.)]])</f>
        <v>0</v>
      </c>
      <c r="AW89" s="277" t="str">
        <f>IF(TABLA_BASE[[#This Row],[MARGEN
%]]&gt;=0.5,"🟢 ALTO",IF(TABLA_BASE[[#This Row],[MARGEN
%]]&gt;=0.3,"🟡 MEDIO","🔴 BAJO"))</f>
        <v>🔴 BAJO</v>
      </c>
    </row>
    <row r="90" spans="1:49" s="296" customFormat="1" ht="15.75" thickTop="1" x14ac:dyDescent="0.25">
      <c r="A90" s="292"/>
      <c r="B90" s="292"/>
      <c r="C90" s="293">
        <f>SUM(TABLA_BASE[CANTIDAD
(unid.)])</f>
        <v>34224</v>
      </c>
      <c r="D90" s="294">
        <f>SUM(TABLA_BASE[FOB UNIT. 
(US$)])</f>
        <v>9.93</v>
      </c>
      <c r="E90" s="294">
        <f>SUM(TABLA_BASE[FOB TOTAL
(US$)])</f>
        <v>28427.52</v>
      </c>
      <c r="F90"/>
      <c r="G90" s="295">
        <f>SUM(TABLA_BASE[FOB UNIT.
(S/.)])</f>
        <v>36.939600000000006</v>
      </c>
      <c r="H90" s="295">
        <f>SUM(TABLA_BASE[FOB TOTAL
(S/.)])</f>
        <v>52875.1872</v>
      </c>
      <c r="I90" s="294">
        <f>SUM(TABLA_BASE[ADV UNIT.
(US$)
⚠️COSTO])</f>
        <v>0.68883813994326615</v>
      </c>
      <c r="J90" s="313">
        <f>SUM(TABLA_BASE[ADV TOTAL
(US$)
⚠️COSTO])</f>
        <v>985.99999999999989</v>
      </c>
      <c r="K90" s="297">
        <f>SUM(TABLA_BASE[IPM UNIT.
(US$)
✅CF])</f>
        <v>0.24311934350938808</v>
      </c>
      <c r="L90" s="313">
        <f>SUM(TABLA_BASE[IPM TOTAL
(US$)
✅CF])</f>
        <v>348.00000000000006</v>
      </c>
      <c r="M90" s="297">
        <f>SUM(TABLA_BASE[IGV UNIT.
(US$)
✅CF])</f>
        <v>1.9477492232878564</v>
      </c>
      <c r="N90" s="313">
        <f>SUM(TABLA_BASE[IGV  TOTAL
(US$)
✅CF])</f>
        <v>2788</v>
      </c>
      <c r="O90" s="294">
        <f>SUM(TABLA_BASE[PERCEP.
UNIT.(US$)
✅CF])</f>
        <v>0.50272609077401054</v>
      </c>
      <c r="P90" s="313">
        <f>SUM(TABLA_BASE[PERCEP.
TOTAL.(US$)
✅CF])</f>
        <v>719.6</v>
      </c>
      <c r="Q90" s="297">
        <f>SUM(TABLA_BASE[DEUDA
ADUANERA
UNIT.])</f>
        <v>2.8797067067405102</v>
      </c>
      <c r="R90" s="312">
        <f>SUM(TABLA_BASE[DEUDA
ADUANERA
TOTAL])</f>
        <v>4122.0000000000009</v>
      </c>
      <c r="S90" s="295">
        <f>SUM(TABLA_BASE[ADV UNIT.
(S/.)])</f>
        <v>2.5624778805889501</v>
      </c>
      <c r="T90" s="314">
        <f>SUM(TABLA_BASE[ADV  TOTAL.
(S/.)])</f>
        <v>3667.92</v>
      </c>
      <c r="U90" s="295">
        <f>SUM(TABLA_BASE[IPM UNIT.
(S/.)])</f>
        <v>0.90440395785492367</v>
      </c>
      <c r="V90" s="314">
        <f>SUM(TABLA_BASE[IPM TOTAL
(S/.)2])</f>
        <v>1294.5600000000002</v>
      </c>
      <c r="W90" s="295">
        <f>SUM(TABLA_BASE[IGV UNIT.
(S/.)])</f>
        <v>7.2456271106308252</v>
      </c>
      <c r="X90" s="314">
        <f>SUM(TABLA_BASE[IGV TOTAL
(S/.)2])</f>
        <v>10371.36</v>
      </c>
      <c r="Y90" s="295">
        <f>SUM(TABLA_BASE[PERCEP.
UNIT.(S/.)])</f>
        <v>1.8701410576793192</v>
      </c>
      <c r="Z90" s="314">
        <f>SUM(TABLA_BASE[PERCEP.
TOTAL.(S/.)2])</f>
        <v>2676.9120000000003</v>
      </c>
      <c r="AA90" s="294">
        <f>SUM(TABLA_BASE[TOTAL PAGO
SUNAT
UNIT.(US$)])</f>
        <v>3.3824327975145208</v>
      </c>
      <c r="AB90" s="312">
        <f>SUM(TABLA_BASE[TOTAL PAGO
SUNAT
TOTAL(US$)])</f>
        <v>4841.6000000000004</v>
      </c>
      <c r="AC90" s="295">
        <f>SUM(TABLA_BASE[TOTAL TRIB.
UNIT.(S/.)])</f>
        <v>12.582650006754019</v>
      </c>
      <c r="AD90" s="315">
        <f>SUM(TABLA_BASE[TOTAL TRIB.
TOTAL .(S/.)])</f>
        <v>18010.752</v>
      </c>
      <c r="AE90" s="297">
        <f>SUM(TABLA_BASE[GASTOS IMP.
UNIT.(US$)])</f>
        <v>12.986464250135082</v>
      </c>
      <c r="AF90" s="313">
        <f>SUM(TABLA_BASE[GASTOS IMP.
TOTAL.(US$)2])</f>
        <v>18588.77</v>
      </c>
      <c r="AG90" s="295">
        <f>SUM(TABLA_BASE[GASTOS IMP.
UNIT.(S/.)])</f>
        <v>48.309647010502502</v>
      </c>
      <c r="AH90" s="314">
        <f>SUM(TABLA_BASE[GASTOS IMP.
TOTAL.(S/.)2])</f>
        <v>69150.224400000006</v>
      </c>
      <c r="AI90" s="297">
        <f>SUM(TABLA_BASE[C/M UNIT.
(US$)])</f>
        <v>12.986464250135082</v>
      </c>
      <c r="AJ90" s="295">
        <f>SUM(TABLA_BASE[C/M UNIT.
(S/.)])</f>
        <v>48.309647010502502</v>
      </c>
      <c r="AK90" s="297">
        <f>SUM(TABLA_BASE[ADV UNIT.
⚠️COSTO
(US$)])</f>
        <v>0.68883813994326615</v>
      </c>
      <c r="AL90" s="297">
        <f>SUM(TABLA_BASE[CF UNIT.
✅RECUP.
(US$)])</f>
        <v>2.8358836067303796</v>
      </c>
      <c r="AM90" s="295">
        <f>SUM(TABLA_BASE[CF UNIT.
✅RECUP.(S/.)])</f>
        <v>10.549487017037013</v>
      </c>
      <c r="AN90" s="314">
        <f>SUM(AN3:AN11)</f>
        <v>15100.491096000002</v>
      </c>
      <c r="AO90" s="297">
        <f>SUM(TABLA_BASE[MARGEN
%])</f>
        <v>12.000000000000005</v>
      </c>
      <c r="AP90"/>
      <c r="AQ90"/>
      <c r="AR90"/>
      <c r="AS90"/>
      <c r="AT90" s="314">
        <f>SUM(TABLA_BASE[GANANCIA
TOTAL(S/.)])</f>
        <v>46100.149600000026</v>
      </c>
      <c r="AU90"/>
      <c r="AV90" s="297">
        <f>SUM(TABLA_BASE[ROI
UNIT.])</f>
        <v>6.0000000000000018</v>
      </c>
      <c r="AW90" s="297">
        <f>SUM(TABLA_BASE[CLASIF.
MARGEN])</f>
        <v>0</v>
      </c>
    </row>
    <row r="93" spans="1:49" x14ac:dyDescent="0.25">
      <c r="K93" s="306"/>
      <c r="L93" s="306"/>
    </row>
    <row r="94" spans="1:49" x14ac:dyDescent="0.25">
      <c r="K94" s="306"/>
      <c r="L94" s="306"/>
    </row>
    <row r="95" spans="1:49" x14ac:dyDescent="0.25">
      <c r="K95" s="306"/>
      <c r="L95" s="306"/>
    </row>
    <row r="96" spans="1:49" x14ac:dyDescent="0.25">
      <c r="K96" s="306"/>
      <c r="L96" s="306"/>
    </row>
    <row r="97" spans="11:12" x14ac:dyDescent="0.25">
      <c r="K97" s="306"/>
      <c r="L97" s="306"/>
    </row>
    <row r="98" spans="11:12" x14ac:dyDescent="0.25">
      <c r="K98" s="306"/>
      <c r="L98" s="306"/>
    </row>
    <row r="99" spans="11:12" x14ac:dyDescent="0.25">
      <c r="K99" s="306"/>
      <c r="L99" s="306"/>
    </row>
    <row r="100" spans="11:12" x14ac:dyDescent="0.25">
      <c r="K100" s="306"/>
      <c r="L100" s="306"/>
    </row>
    <row r="101" spans="11:12" x14ac:dyDescent="0.25">
      <c r="K101" s="306"/>
      <c r="L101" s="306"/>
    </row>
    <row r="102" spans="11:12" x14ac:dyDescent="0.25">
      <c r="K102" s="306"/>
      <c r="L102" s="306"/>
    </row>
  </sheetData>
  <mergeCells count="3">
    <mergeCell ref="B1:H1"/>
    <mergeCell ref="AE1:AW1"/>
    <mergeCell ref="I1:AD1"/>
  </mergeCells>
  <phoneticPr fontId="107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E1:R102"/>
  <sheetViews>
    <sheetView showGridLines="0" topLeftCell="C1" zoomScale="70" zoomScaleNormal="70" workbookViewId="0">
      <selection activeCell="I5" sqref="I5"/>
    </sheetView>
  </sheetViews>
  <sheetFormatPr baseColWidth="10" defaultColWidth="8.7109375" defaultRowHeight="15" x14ac:dyDescent="0.25"/>
  <cols>
    <col min="4" max="4" width="2" customWidth="1"/>
    <col min="5" max="12" width="22" customWidth="1"/>
    <col min="13" max="13" width="2" customWidth="1"/>
    <col min="14" max="14" width="33.5703125" bestFit="1" customWidth="1"/>
    <col min="15" max="15" width="15.85546875" bestFit="1" customWidth="1"/>
    <col min="16" max="16" width="13.42578125" bestFit="1" customWidth="1"/>
    <col min="17" max="17" width="11.7109375" bestFit="1" customWidth="1"/>
    <col min="18" max="18" width="17.28515625" bestFit="1" customWidth="1"/>
  </cols>
  <sheetData>
    <row r="1" spans="5:12" ht="51.75" customHeight="1" x14ac:dyDescent="0.25">
      <c r="E1" s="498" t="s">
        <v>278</v>
      </c>
      <c r="F1" s="498"/>
      <c r="G1" s="498"/>
      <c r="H1" s="498"/>
      <c r="I1" s="498"/>
      <c r="J1" s="498"/>
      <c r="K1" s="498"/>
      <c r="L1" s="498"/>
    </row>
    <row r="2" spans="5:12" ht="19.5" customHeight="1" x14ac:dyDescent="0.25">
      <c r="E2" s="499" t="str">
        <f>'📋 Datos Generales'!E6&amp;"   |   DUA: "&amp;'📋 Datos Generales'!E5&amp;"   |   País: "&amp;'📋 Datos Generales'!E9&amp;"   |   Proveedor: "&amp;'📋 Datos Generales'!E10&amp;"   |   Incoterm: "&amp;'📋 Datos Generales'!E11&amp;"   |   TC: S/."&amp;TEXT('📋 Datos Generales'!E19,"0.000")</f>
        <v>EMPRESA IMPORTADORA S.A.C.   |   DUA: DAM-2025-000001   |   País: China   |   Proveedor: HWPI Co. Ltd.   |   Incoterm: FOB   |   TC: S/.3.720</v>
      </c>
      <c r="F2" s="499"/>
      <c r="G2" s="499"/>
      <c r="H2" s="499"/>
      <c r="I2" s="499"/>
      <c r="J2" s="499"/>
      <c r="K2" s="499"/>
      <c r="L2" s="499"/>
    </row>
    <row r="3" spans="5:12" ht="7.5" customHeight="1" x14ac:dyDescent="0.25"/>
    <row r="4" spans="5:12" ht="42" customHeight="1" x14ac:dyDescent="0.25">
      <c r="E4" s="122" t="s">
        <v>279</v>
      </c>
      <c r="F4" s="123" t="s">
        <v>280</v>
      </c>
      <c r="G4" s="124" t="s">
        <v>281</v>
      </c>
      <c r="H4" s="125" t="s">
        <v>282</v>
      </c>
      <c r="I4" s="126" t="s">
        <v>283</v>
      </c>
      <c r="J4" s="127" t="s">
        <v>284</v>
      </c>
      <c r="K4" s="128" t="s">
        <v>285</v>
      </c>
      <c r="L4" s="129" t="s">
        <v>286</v>
      </c>
    </row>
    <row r="5" spans="5:12" ht="37.5" customHeight="1" x14ac:dyDescent="0.25">
      <c r="E5" s="37">
        <f>'🧮 Costos x Producto'!I4</f>
        <v>69150.224400000006</v>
      </c>
      <c r="F5" s="38">
        <f>'🧾 Tributos Aduana'!F14</f>
        <v>16438.03</v>
      </c>
      <c r="G5" s="39">
        <f>'🧾 Tributos Aduana'!F17</f>
        <v>986</v>
      </c>
      <c r="H5" s="40">
        <f>'🧾 Tributos Aduana'!F20</f>
        <v>4122</v>
      </c>
      <c r="I5" s="41">
        <f>SUMPRODUCT('🧾 Factura Comercial'!G5:G34,'💰 Precio de Venta'!H8:H37)</f>
        <v>115250.37400000004</v>
      </c>
      <c r="J5" s="42">
        <f>'🏦 Crédito Fiscal'!C16</f>
        <v>4059.2718</v>
      </c>
      <c r="K5" s="43">
        <f>IF(SUMPRODUCT('🧾 Factura Comercial'!G5:G34,'💰 Precio de Venta'!H8:H37)=0,0,(SUMPRODUCT('🧾 Factura Comercial'!G5:G34,'💰 Precio de Venta'!H8:H37)-'🧮 Costos x Producto'!I4)/SUMPRODUCT('🧾 Factura Comercial'!G5:G34,'💰 Precio de Venta'!H8:H37))</f>
        <v>0.40000000000000013</v>
      </c>
      <c r="L5" s="44">
        <f>'🧾 Tributos Aduana'!F23</f>
        <v>719.6</v>
      </c>
    </row>
    <row r="6" spans="5:12" ht="7.5" customHeight="1" x14ac:dyDescent="0.25"/>
    <row r="8" spans="5:12" ht="37.5" customHeight="1" x14ac:dyDescent="0.25">
      <c r="E8" s="45" t="s">
        <v>287</v>
      </c>
      <c r="F8" s="130" t="s">
        <v>288</v>
      </c>
      <c r="G8" s="131" t="s">
        <v>289</v>
      </c>
      <c r="H8" s="132" t="s">
        <v>290</v>
      </c>
      <c r="I8" s="133" t="s">
        <v>291</v>
      </c>
    </row>
    <row r="9" spans="5:12" ht="31.5" customHeight="1" x14ac:dyDescent="0.25">
      <c r="E9" s="46">
        <f>'🧾 Tributos Aduana'!F23</f>
        <v>719.6</v>
      </c>
      <c r="F9" s="47">
        <f>'📋 Datos Generales'!E19</f>
        <v>3.72</v>
      </c>
      <c r="G9" s="48">
        <f>'📋 Datos Generales'!E20</f>
        <v>0.06</v>
      </c>
      <c r="H9" s="49">
        <f>'📋 Datos Generales'!E23</f>
        <v>3.5000000000000003E-2</v>
      </c>
      <c r="I9" s="50">
        <f>'🧾 Tributos Aduana'!F14</f>
        <v>16438.03</v>
      </c>
    </row>
    <row r="12" spans="5:12" ht="19.5" customHeight="1" x14ac:dyDescent="0.25">
      <c r="E12" s="500" t="s">
        <v>292</v>
      </c>
      <c r="F12" s="500"/>
      <c r="G12" s="500"/>
      <c r="H12" s="500"/>
      <c r="I12" s="500"/>
      <c r="J12" s="500"/>
    </row>
    <row r="13" spans="5:12" ht="15" customHeight="1" x14ac:dyDescent="0.25">
      <c r="E13" s="51" t="s">
        <v>293</v>
      </c>
      <c r="F13" s="51" t="s">
        <v>294</v>
      </c>
      <c r="G13" s="51" t="s">
        <v>295</v>
      </c>
      <c r="H13" s="51" t="s">
        <v>296</v>
      </c>
    </row>
    <row r="14" spans="5:12" ht="19.5" customHeight="1" x14ac:dyDescent="0.25">
      <c r="E14" s="52" t="s">
        <v>297</v>
      </c>
      <c r="F14" s="53">
        <f>'🧾 Tributos Aduana'!F6</f>
        <v>14213.76</v>
      </c>
      <c r="G14" s="54">
        <f>F14*'📋 Datos Generales'!E19</f>
        <v>52875.1872</v>
      </c>
      <c r="H14" s="55">
        <f>IF('🧮 Costos x Producto'!G4=0,0,F14/'🧮 Costos x Producto'!G4)</f>
        <v>0.76464230823233592</v>
      </c>
    </row>
    <row r="15" spans="5:12" ht="19.5" customHeight="1" x14ac:dyDescent="0.25">
      <c r="E15" s="56" t="s">
        <v>298</v>
      </c>
      <c r="F15" s="57">
        <f>'🧾 Tributos Aduana'!F7</f>
        <v>2090</v>
      </c>
      <c r="G15" s="58">
        <f>F15*'📋 Datos Generales'!E19</f>
        <v>7774.8</v>
      </c>
      <c r="H15" s="59">
        <f>IF('🧮 Costos x Producto'!G4=0,0,F15/'🧮 Costos x Producto'!G4)</f>
        <v>0.1124334746193535</v>
      </c>
    </row>
    <row r="16" spans="5:12" ht="19.5" customHeight="1" x14ac:dyDescent="0.25">
      <c r="E16" s="52" t="s">
        <v>299</v>
      </c>
      <c r="F16" s="53">
        <f>'🧾 Tributos Aduana'!F10</f>
        <v>134.27000000000001</v>
      </c>
      <c r="G16" s="54">
        <f>F16*'📋 Datos Generales'!E19</f>
        <v>499.48440000000005</v>
      </c>
      <c r="H16" s="55">
        <f>IF('🧮 Costos x Producto'!G4=0,0,F16/'🧮 Costos x Producto'!G4)</f>
        <v>7.2231782952825825E-3</v>
      </c>
    </row>
    <row r="17" spans="5:12" ht="19.5" customHeight="1" x14ac:dyDescent="0.25">
      <c r="E17" s="56" t="s">
        <v>300</v>
      </c>
      <c r="F17" s="57">
        <f>'🧾 Tributos Aduana'!F17</f>
        <v>986</v>
      </c>
      <c r="G17" s="58">
        <f>F17*'📋 Datos Generales'!E19</f>
        <v>3667.92</v>
      </c>
      <c r="H17" s="59">
        <f>IF('🧮 Costos x Producto'!G4=0,0,F17/'🧮 Costos x Producto'!G4)</f>
        <v>5.3042777978317017E-2</v>
      </c>
    </row>
    <row r="18" spans="5:12" ht="19.5" customHeight="1" x14ac:dyDescent="0.25">
      <c r="E18" s="52" t="s">
        <v>301</v>
      </c>
      <c r="F18" s="53">
        <f>'🧾 Tributos Aduana'!F19+'🧾 Tributos Aduana'!F18</f>
        <v>3136</v>
      </c>
      <c r="G18" s="54">
        <f>F18*'📋 Datos Generales'!E19</f>
        <v>11665.92</v>
      </c>
      <c r="H18" s="55">
        <f>IF('🧮 Costos x Producto'!G4=0,0,F18/'🧮 Costos x Producto'!G4)</f>
        <v>0.16870400784990078</v>
      </c>
    </row>
    <row r="19" spans="5:12" ht="19.5" customHeight="1" x14ac:dyDescent="0.25">
      <c r="E19" s="56" t="s">
        <v>302</v>
      </c>
      <c r="F19" s="57">
        <f>'🧾 Tributos Aduana'!F23</f>
        <v>719.6</v>
      </c>
      <c r="G19" s="58">
        <f>F19*'📋 Datos Generales'!E19</f>
        <v>2676.9120000000003</v>
      </c>
      <c r="H19" s="59">
        <f>IF('🧮 Costos x Producto'!G4=0,0,F19/'🧮 Costos x Producto'!G4)</f>
        <v>3.8711544658414733E-2</v>
      </c>
    </row>
    <row r="20" spans="5:12" ht="19.5" customHeight="1" x14ac:dyDescent="0.25">
      <c r="E20" s="52" t="s">
        <v>303</v>
      </c>
      <c r="F20" s="53">
        <f>'📦 Gastos Importación'!E28</f>
        <v>18588.77</v>
      </c>
      <c r="G20" s="54">
        <f>F20*'📋 Datos Generales'!E19</f>
        <v>69150.224400000006</v>
      </c>
      <c r="H20" s="55">
        <f>IF('🧮 Costos x Producto'!G4=0,0,F20/'🧮 Costos x Producto'!G4)</f>
        <v>1</v>
      </c>
    </row>
    <row r="22" spans="5:12" ht="19.5" customHeight="1" x14ac:dyDescent="0.25">
      <c r="E22" s="501" t="s">
        <v>304</v>
      </c>
      <c r="F22" s="501"/>
      <c r="G22" s="501"/>
      <c r="H22" s="501"/>
      <c r="I22" s="501"/>
      <c r="J22" s="501"/>
    </row>
    <row r="23" spans="5:12" ht="21.75" customHeight="1" x14ac:dyDescent="0.25">
      <c r="E23" s="60" t="s">
        <v>305</v>
      </c>
      <c r="F23" s="61">
        <f>'🧮 Costos x Producto'!I4</f>
        <v>69150.224400000006</v>
      </c>
      <c r="G23" s="60" t="s">
        <v>306</v>
      </c>
      <c r="H23" s="61">
        <f>SUMPRODUCT('🧾 Factura Comercial'!G5:G34,'💰 Precio de Venta'!H8:H37)</f>
        <v>115250.37400000004</v>
      </c>
    </row>
    <row r="24" spans="5:12" ht="24" customHeight="1" x14ac:dyDescent="0.25">
      <c r="E24" s="60" t="s">
        <v>307</v>
      </c>
      <c r="F24" s="62">
        <f>H23-F23</f>
        <v>46100.149600000033</v>
      </c>
      <c r="G24" s="60" t="s">
        <v>308</v>
      </c>
      <c r="H24" s="63">
        <f>IF(H23=0,0,(H23-F23)/H23)</f>
        <v>0.40000000000000013</v>
      </c>
      <c r="I24" s="64">
        <f>IF(H23=0,0,(H23-F23)/H23)</f>
        <v>0.40000000000000013</v>
      </c>
    </row>
    <row r="25" spans="5:12" ht="25.5" customHeight="1" x14ac:dyDescent="0.25">
      <c r="E25" s="60" t="s">
        <v>309</v>
      </c>
      <c r="F25" s="65">
        <f>'🏦 Crédito Fiscal'!C16</f>
        <v>4059.2718</v>
      </c>
      <c r="G25" s="60" t="s">
        <v>310</v>
      </c>
      <c r="H25" s="66">
        <f>'🏦 Crédito Fiscal'!C17</f>
        <v>15100.491096000002</v>
      </c>
    </row>
    <row r="26" spans="5:12" ht="21.75" customHeight="1" x14ac:dyDescent="0.25">
      <c r="E26" s="502" t="s">
        <v>311</v>
      </c>
      <c r="F26" s="502"/>
      <c r="G26" s="502"/>
      <c r="H26" s="502"/>
      <c r="I26" s="502"/>
      <c r="J26" s="502"/>
      <c r="K26" s="502"/>
      <c r="L26" s="502"/>
    </row>
    <row r="27" spans="5:12" ht="39.75" customHeight="1" x14ac:dyDescent="0.25">
      <c r="E27" s="33" t="s">
        <v>312</v>
      </c>
      <c r="F27" s="29" t="s">
        <v>313</v>
      </c>
      <c r="G27" s="31" t="s">
        <v>314</v>
      </c>
      <c r="H27" s="32" t="s">
        <v>315</v>
      </c>
      <c r="I27" s="34" t="s">
        <v>316</v>
      </c>
      <c r="J27" s="30" t="s">
        <v>317</v>
      </c>
      <c r="K27" s="36" t="s">
        <v>318</v>
      </c>
      <c r="L27" s="35" t="s">
        <v>319</v>
      </c>
    </row>
    <row r="28" spans="5:12" ht="37.5" customHeight="1" x14ac:dyDescent="0.25">
      <c r="E28" s="67">
        <f>SUMPRODUCT('🧾 Factura Comercial'!G5:G34,'💰 Precio de Venta'!H8:H37)</f>
        <v>115250.37400000004</v>
      </c>
      <c r="F28" s="68">
        <f>'🧮 Costos x Producto'!I4</f>
        <v>69150.224400000006</v>
      </c>
      <c r="G28" s="69">
        <f>E28-F28</f>
        <v>46100.149600000033</v>
      </c>
      <c r="H28" s="70">
        <f>IF(E28=0,0,G28/E28)</f>
        <v>0.40000000000000013</v>
      </c>
      <c r="I28" s="71">
        <f>'🏦 Crédito Fiscal'!C16</f>
        <v>4059.2718</v>
      </c>
      <c r="J28" s="72">
        <f>'🏦 Crédito Fiscal'!C17</f>
        <v>15100.491096000002</v>
      </c>
      <c r="K28" s="73">
        <f>COUNTIF('🧾 Factura Comercial'!E5:E34,"?*")</f>
        <v>9</v>
      </c>
      <c r="L28" s="74">
        <f>IF(K28=0,0,'🧾 Factura Comercial'!I35/K28)</f>
        <v>1579.3066666666666</v>
      </c>
    </row>
    <row r="47" spans="5:12" ht="7.5" customHeight="1" x14ac:dyDescent="0.25"/>
    <row r="48" spans="5:12" ht="21.75" customHeight="1" x14ac:dyDescent="0.25">
      <c r="E48" s="497" t="s">
        <v>320</v>
      </c>
      <c r="F48" s="497"/>
      <c r="G48" s="497"/>
      <c r="H48" s="497"/>
      <c r="I48" s="497"/>
      <c r="J48" s="497"/>
      <c r="K48" s="497"/>
      <c r="L48" s="497"/>
    </row>
    <row r="49" spans="5:16" ht="19.5" customHeight="1" x14ac:dyDescent="0.25">
      <c r="E49" s="75" t="s">
        <v>293</v>
      </c>
      <c r="F49" s="75" t="s">
        <v>294</v>
      </c>
      <c r="G49" s="75" t="s">
        <v>295</v>
      </c>
      <c r="H49" s="75" t="s">
        <v>321</v>
      </c>
    </row>
    <row r="50" spans="5:16" ht="18" customHeight="1" x14ac:dyDescent="0.25">
      <c r="E50" s="52" t="s">
        <v>322</v>
      </c>
      <c r="F50" s="76">
        <f>'🧾 Tributos Aduana'!F17</f>
        <v>986</v>
      </c>
      <c r="G50" s="54">
        <f>F50*'📋 Datos Generales'!E19</f>
        <v>3667.92</v>
      </c>
      <c r="H50" s="77" t="s">
        <v>323</v>
      </c>
    </row>
    <row r="51" spans="5:16" ht="18" customHeight="1" x14ac:dyDescent="0.25">
      <c r="E51" s="56" t="s">
        <v>324</v>
      </c>
      <c r="F51" s="78">
        <f>'🧾 Tributos Aduana'!F18</f>
        <v>348</v>
      </c>
      <c r="G51" s="58">
        <f>F51*'📋 Datos Generales'!E19</f>
        <v>1294.5600000000002</v>
      </c>
      <c r="H51" s="79" t="s">
        <v>325</v>
      </c>
    </row>
    <row r="52" spans="5:16" ht="18" customHeight="1" x14ac:dyDescent="0.25">
      <c r="E52" s="52" t="s">
        <v>326</v>
      </c>
      <c r="F52" s="80">
        <f>'🧾 Tributos Aduana'!F19</f>
        <v>2788</v>
      </c>
      <c r="G52" s="54">
        <f>F52*'📋 Datos Generales'!E19</f>
        <v>10371.36</v>
      </c>
      <c r="H52" s="79" t="s">
        <v>325</v>
      </c>
    </row>
    <row r="53" spans="5:16" ht="18" customHeight="1" x14ac:dyDescent="0.25">
      <c r="E53" s="56" t="s">
        <v>327</v>
      </c>
      <c r="F53" s="78">
        <f>'🧾 Tributos Aduana'!F23</f>
        <v>719.6</v>
      </c>
      <c r="G53" s="58">
        <f>F53*'📋 Datos Generales'!E19</f>
        <v>2676.9120000000003</v>
      </c>
      <c r="H53" s="79" t="s">
        <v>325</v>
      </c>
    </row>
    <row r="54" spans="5:16" ht="18" customHeight="1" x14ac:dyDescent="0.25">
      <c r="E54" s="52" t="s">
        <v>328</v>
      </c>
      <c r="F54" s="80">
        <f>'🧾 Tributos Aduana'!F12</f>
        <v>24.168600000000001</v>
      </c>
      <c r="G54" s="54">
        <f>F54*'📋 Datos Generales'!E19</f>
        <v>89.907192000000009</v>
      </c>
      <c r="H54" s="79" t="s">
        <v>325</v>
      </c>
    </row>
    <row r="55" spans="5:16" ht="18" customHeight="1" x14ac:dyDescent="0.25">
      <c r="E55" s="56" t="s">
        <v>329</v>
      </c>
      <c r="F55" s="78">
        <f>'📦 Gastos Importación'!F26</f>
        <v>179.50319999999996</v>
      </c>
      <c r="G55" s="58">
        <f>F55*'📋 Datos Generales'!E19</f>
        <v>667.75190399999985</v>
      </c>
      <c r="H55" s="79" t="s">
        <v>325</v>
      </c>
    </row>
    <row r="56" spans="5:16" ht="24" customHeight="1" x14ac:dyDescent="0.25">
      <c r="E56" s="1" t="s">
        <v>330</v>
      </c>
      <c r="F56" s="23">
        <f>'🏦 Crédito Fiscal'!C16</f>
        <v>4059.2718</v>
      </c>
      <c r="G56" s="81">
        <f>'🏦 Crédito Fiscal'!C17</f>
        <v>15100.491096000002</v>
      </c>
      <c r="H56" s="82" t="s">
        <v>331</v>
      </c>
    </row>
    <row r="60" spans="5:16" ht="15" customHeight="1" x14ac:dyDescent="0.25">
      <c r="N60" t="s">
        <v>207</v>
      </c>
      <c r="O60" t="s">
        <v>199</v>
      </c>
      <c r="P60" t="s">
        <v>332</v>
      </c>
    </row>
    <row r="61" spans="5:16" ht="15" customHeight="1" x14ac:dyDescent="0.25">
      <c r="N61" t="s">
        <v>333</v>
      </c>
      <c r="O61" s="304">
        <f>'🧾 Tributos Aduana'!F6</f>
        <v>14213.76</v>
      </c>
      <c r="P61" s="303">
        <f>O61*'📋 Datos Generales'!E19</f>
        <v>52875.1872</v>
      </c>
    </row>
    <row r="62" spans="5:16" ht="15" customHeight="1" x14ac:dyDescent="0.25">
      <c r="N62" t="s">
        <v>236</v>
      </c>
      <c r="O62" s="304">
        <f>'🧾 Tributos Aduana'!F7</f>
        <v>2090</v>
      </c>
      <c r="P62" s="303">
        <f>O62*'📋 Datos Generales'!E19</f>
        <v>7774.8</v>
      </c>
    </row>
    <row r="63" spans="5:16" ht="15" customHeight="1" x14ac:dyDescent="0.25">
      <c r="N63" t="s">
        <v>239</v>
      </c>
      <c r="O63" s="304">
        <f>'🧾 Tributos Aduana'!F10</f>
        <v>134.27000000000001</v>
      </c>
      <c r="P63" s="303">
        <f>O63*'📋 Datos Generales'!E19</f>
        <v>499.48440000000005</v>
      </c>
    </row>
    <row r="64" spans="5:16" ht="15" customHeight="1" x14ac:dyDescent="0.25">
      <c r="N64" t="s">
        <v>300</v>
      </c>
      <c r="O64" s="304">
        <f>'🧾 Tributos Aduana'!F17</f>
        <v>986</v>
      </c>
      <c r="P64" s="303">
        <f>O64*'📋 Datos Generales'!E19</f>
        <v>3667.92</v>
      </c>
    </row>
    <row r="65" spans="14:18" ht="15" customHeight="1" x14ac:dyDescent="0.25">
      <c r="N65" t="s">
        <v>334</v>
      </c>
      <c r="O65" s="304">
        <f>'📦 Gastos Importación'!E26</f>
        <v>997.2399999999999</v>
      </c>
      <c r="P65" s="303">
        <f>O65*'📋 Datos Generales'!E19</f>
        <v>3709.7327999999998</v>
      </c>
    </row>
    <row r="66" spans="14:18" ht="15" customHeight="1" x14ac:dyDescent="0.25">
      <c r="N66" t="s">
        <v>335</v>
      </c>
      <c r="O66" s="304">
        <f>'📦 Gastos Importación'!E27</f>
        <v>167.5</v>
      </c>
      <c r="P66" s="303">
        <f>O66*'📋 Datos Generales'!E19</f>
        <v>623.1</v>
      </c>
    </row>
    <row r="70" spans="14:18" ht="15" customHeight="1" x14ac:dyDescent="0.25">
      <c r="N70" t="s">
        <v>336</v>
      </c>
      <c r="O70" t="s">
        <v>208</v>
      </c>
    </row>
    <row r="71" spans="14:18" ht="15" customHeight="1" x14ac:dyDescent="0.25">
      <c r="N71" t="s">
        <v>211</v>
      </c>
      <c r="O71" s="304">
        <f>'🧾 Tributos Aduana'!F17</f>
        <v>986</v>
      </c>
    </row>
    <row r="72" spans="14:18" ht="15" customHeight="1" x14ac:dyDescent="0.25">
      <c r="N72" t="s">
        <v>214</v>
      </c>
      <c r="O72" s="304">
        <f>'🧾 Tributos Aduana'!F18</f>
        <v>348</v>
      </c>
    </row>
    <row r="73" spans="14:18" ht="15" customHeight="1" x14ac:dyDescent="0.25">
      <c r="N73" t="s">
        <v>217</v>
      </c>
      <c r="O73" s="304">
        <f>'🧾 Tributos Aduana'!F19</f>
        <v>2788</v>
      </c>
    </row>
    <row r="74" spans="14:18" ht="15" customHeight="1" x14ac:dyDescent="0.25">
      <c r="N74" t="s">
        <v>220</v>
      </c>
      <c r="O74" s="304">
        <f>'🧾 Tributos Aduana'!F23</f>
        <v>719.6</v>
      </c>
    </row>
    <row r="75" spans="14:18" ht="15" customHeight="1" x14ac:dyDescent="0.25">
      <c r="N75" t="s">
        <v>337</v>
      </c>
      <c r="O75" s="304">
        <f>'🧾 Tributos Aduana'!F12</f>
        <v>24.168600000000001</v>
      </c>
    </row>
    <row r="80" spans="14:18" ht="15" customHeight="1" x14ac:dyDescent="0.25">
      <c r="N80" t="s">
        <v>338</v>
      </c>
      <c r="O80" t="s">
        <v>339</v>
      </c>
      <c r="P80" t="s">
        <v>340</v>
      </c>
      <c r="Q80" t="s">
        <v>341</v>
      </c>
      <c r="R80" t="s">
        <v>342</v>
      </c>
    </row>
    <row r="81" spans="14:18" ht="15" customHeight="1" x14ac:dyDescent="0.25">
      <c r="N81" t="str">
        <f>'🧾 Factura Comercial'!E5</f>
        <v>Case Transparente TPU iPhone 15</v>
      </c>
      <c r="O81" s="307">
        <f>'🧾 Factura Comercial'!I5</f>
        <v>580.79999999999995</v>
      </c>
      <c r="P81" s="83">
        <f>'🧮 Costos x Producto'!K7</f>
        <v>5.8866740063150083</v>
      </c>
      <c r="Q81" s="83">
        <f>'💰 Precio de Venta'!H8</f>
        <v>9.8111233438583483</v>
      </c>
      <c r="R81" s="305">
        <f>'💰 Precio de Venta'!J8</f>
        <v>3.92444933754334</v>
      </c>
    </row>
    <row r="82" spans="14:18" ht="15" customHeight="1" x14ac:dyDescent="0.25">
      <c r="N82" t="str">
        <f>'🧾 Factura Comercial'!E6</f>
        <v>Cable USB-C Trenzado 1m</v>
      </c>
      <c r="O82" s="307">
        <f>'🧾 Factura Comercial'!I6</f>
        <v>1958.4</v>
      </c>
      <c r="P82" s="83">
        <f>'🧮 Costos x Producto'!K8</f>
        <v>3.3082134911522361</v>
      </c>
      <c r="Q82" s="83">
        <f>'💰 Precio de Venta'!H9</f>
        <v>5.5136891519203939</v>
      </c>
      <c r="R82" s="305">
        <f>'💰 Precio de Venta'!J9</f>
        <v>2.2054756607681578</v>
      </c>
    </row>
    <row r="83" spans="14:18" ht="15" customHeight="1" x14ac:dyDescent="0.25">
      <c r="N83" t="str">
        <f>'🧾 Factura Comercial'!E7</f>
        <v>Protector Pantalla Vidrio Templado</v>
      </c>
      <c r="O83" s="307">
        <f>'🧾 Factura Comercial'!I7</f>
        <v>1152</v>
      </c>
      <c r="P83" s="83">
        <f>'🧮 Costos x Producto'!K9</f>
        <v>1.9460079359719038</v>
      </c>
      <c r="Q83" s="83">
        <f>'💰 Precio de Venta'!H10</f>
        <v>3.243346559953173</v>
      </c>
      <c r="R83" s="305">
        <f>'💰 Precio de Venta'!J10</f>
        <v>1.2973386239812692</v>
      </c>
    </row>
    <row r="84" spans="14:18" ht="15" customHeight="1" x14ac:dyDescent="0.25">
      <c r="N84" t="str">
        <f>'🧾 Factura Comercial'!E8</f>
        <v>Audífonos In-Ear con Micrófono</v>
      </c>
      <c r="O84" s="307">
        <f>'🧾 Factura Comercial'!I8</f>
        <v>3476.1600000000003</v>
      </c>
      <c r="P84" s="83">
        <f>'🧮 Costos x Producto'!K10</f>
        <v>1.654106745576118</v>
      </c>
      <c r="Q84" s="83">
        <f>'💰 Precio de Venta'!H11</f>
        <v>2.7568445759601969</v>
      </c>
      <c r="R84" s="305">
        <f>'💰 Precio de Venta'!J11</f>
        <v>1.1027378303840789</v>
      </c>
    </row>
    <row r="85" spans="14:18" ht="15" customHeight="1" x14ac:dyDescent="0.25">
      <c r="N85" t="str">
        <f>'🧾 Factura Comercial'!E9</f>
        <v>Cable Micro USB 2m Nylon</v>
      </c>
      <c r="O85" s="307">
        <f>'🧾 Factura Comercial'!I9</f>
        <v>2246.4</v>
      </c>
      <c r="P85" s="83">
        <f>'🧮 Costos x Producto'!K11</f>
        <v>1.2649051583817372</v>
      </c>
      <c r="Q85" s="83">
        <f>'💰 Precio de Venta'!H12</f>
        <v>2.1081752639695623</v>
      </c>
      <c r="R85" s="305">
        <f>'💰 Precio de Venta'!J12</f>
        <v>0.84327010558782511</v>
      </c>
    </row>
    <row r="86" spans="14:18" ht="15" customHeight="1" x14ac:dyDescent="0.25">
      <c r="N86" t="str">
        <f>'🧾 Factura Comercial'!E10</f>
        <v>Soporte Anillo Pop Socket Metálico</v>
      </c>
      <c r="O86" s="307">
        <f>'🧾 Factura Comercial'!I10</f>
        <v>626.4</v>
      </c>
      <c r="P86" s="83">
        <f>'🧮 Costos x Producto'!K12</f>
        <v>1.41085575357963</v>
      </c>
      <c r="Q86" s="83">
        <f>'💰 Precio de Venta'!H13</f>
        <v>2.3514262559660501</v>
      </c>
      <c r="R86" s="305">
        <f>'💰 Precio de Venta'!J13</f>
        <v>0.94057050238642015</v>
      </c>
    </row>
    <row r="87" spans="14:18" ht="15" customHeight="1" x14ac:dyDescent="0.25">
      <c r="N87" t="str">
        <f>'🧾 Factura Comercial'!E11</f>
        <v>Cargador Inalámbrico 15W Qi</v>
      </c>
      <c r="O87" s="307">
        <f>'🧾 Factura Comercial'!I11</f>
        <v>1370.4</v>
      </c>
      <c r="P87" s="83">
        <f>'🧮 Costos x Producto'!K13</f>
        <v>27.779263285998923</v>
      </c>
      <c r="Q87" s="83">
        <f>'💰 Precio de Venta'!H14</f>
        <v>46.29877214333154</v>
      </c>
      <c r="R87" s="305">
        <f>'💰 Precio de Venta'!J14</f>
        <v>18.519508857332617</v>
      </c>
    </row>
    <row r="88" spans="14:18" ht="15" customHeight="1" x14ac:dyDescent="0.25">
      <c r="N88" t="str">
        <f>'🧾 Factura Comercial'!E12</f>
        <v>Case Wallet Cuero PU Samsung S24</v>
      </c>
      <c r="O88" s="307">
        <f>'🧾 Factura Comercial'!I12</f>
        <v>1459.2</v>
      </c>
      <c r="P88" s="83">
        <f>'🧮 Costos x Producto'!K14</f>
        <v>3.6974150783466171</v>
      </c>
      <c r="Q88" s="83">
        <f>'💰 Precio de Venta'!H15</f>
        <v>6.1623584639110289</v>
      </c>
      <c r="R88" s="305">
        <f>'💰 Precio de Venta'!J15</f>
        <v>2.4649433855644118</v>
      </c>
    </row>
    <row r="89" spans="14:18" ht="15" customHeight="1" x14ac:dyDescent="0.25">
      <c r="N89" t="str">
        <f>'🧾 Factura Comercial'!E13</f>
        <v>Adaptador USB-C a Jack 3.5mm</v>
      </c>
      <c r="O89" s="307">
        <f>'🧾 Factura Comercial'!I13</f>
        <v>1344.0000000000002</v>
      </c>
      <c r="P89" s="83">
        <f>'🧮 Costos x Producto'!K15</f>
        <v>1.3622055551803325</v>
      </c>
      <c r="Q89" s="83">
        <f>'💰 Precio de Venta'!H16</f>
        <v>2.2703425919672209</v>
      </c>
      <c r="R89" s="305">
        <f>'💰 Precio de Venta'!J16</f>
        <v>0.9081370367868884</v>
      </c>
    </row>
    <row r="90" spans="14:18" ht="15" customHeight="1" x14ac:dyDescent="0.25">
      <c r="N90" t="s">
        <v>343</v>
      </c>
      <c r="O90" t="s">
        <v>208</v>
      </c>
      <c r="P90" t="s">
        <v>198</v>
      </c>
    </row>
    <row r="91" spans="14:18" ht="15" customHeight="1" x14ac:dyDescent="0.25">
      <c r="N91" t="s">
        <v>211</v>
      </c>
      <c r="O91" s="304">
        <f>'🧾 Tributos Aduana'!F17</f>
        <v>986</v>
      </c>
    </row>
    <row r="92" spans="14:18" ht="15" customHeight="1" x14ac:dyDescent="0.25">
      <c r="N92" t="s">
        <v>214</v>
      </c>
      <c r="O92" s="304">
        <f>'🧾 Tributos Aduana'!F18</f>
        <v>348</v>
      </c>
    </row>
    <row r="93" spans="14:18" ht="15" customHeight="1" x14ac:dyDescent="0.25">
      <c r="N93" t="s">
        <v>217</v>
      </c>
      <c r="O93" s="304">
        <f>'🧾 Tributos Aduana'!F19</f>
        <v>2788</v>
      </c>
    </row>
    <row r="94" spans="14:18" ht="15" customHeight="1" x14ac:dyDescent="0.25">
      <c r="N94" t="s">
        <v>220</v>
      </c>
      <c r="O94" s="304">
        <f>'🧾 Tributos Aduana'!F23</f>
        <v>719.6</v>
      </c>
    </row>
    <row r="95" spans="14:18" ht="15" customHeight="1" x14ac:dyDescent="0.25">
      <c r="N95" t="s">
        <v>337</v>
      </c>
      <c r="O95" s="304">
        <f>'🧾 Tributos Aduana'!F12</f>
        <v>24.168600000000001</v>
      </c>
    </row>
    <row r="96" spans="14:18" ht="15" customHeight="1" x14ac:dyDescent="0.25">
      <c r="N96" t="s">
        <v>344</v>
      </c>
      <c r="O96" s="304">
        <f>'📦 Gastos Importación'!F26</f>
        <v>179.50319999999996</v>
      </c>
    </row>
    <row r="100" spans="14:15" ht="15" customHeight="1" x14ac:dyDescent="0.25">
      <c r="N100" t="s">
        <v>343</v>
      </c>
      <c r="O100" t="s">
        <v>199</v>
      </c>
    </row>
    <row r="101" spans="14:15" ht="15" customHeight="1" x14ac:dyDescent="0.25">
      <c r="N101" t="s">
        <v>345</v>
      </c>
      <c r="O101" s="25">
        <f>'🧾 Tributos Aduana'!F17</f>
        <v>986</v>
      </c>
    </row>
    <row r="102" spans="14:15" ht="15" customHeight="1" x14ac:dyDescent="0.25">
      <c r="N102" t="s">
        <v>346</v>
      </c>
      <c r="O102" s="25">
        <f>'🏦 Crédito Fiscal'!C16</f>
        <v>4059.2718</v>
      </c>
    </row>
  </sheetData>
  <mergeCells count="6">
    <mergeCell ref="E48:L48"/>
    <mergeCell ref="E1:L1"/>
    <mergeCell ref="E2:L2"/>
    <mergeCell ref="E12:J12"/>
    <mergeCell ref="E22:J22"/>
    <mergeCell ref="E26:L2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8E1F-8F6B-421F-8386-86EF4E7C2F69}">
  <sheetPr>
    <tabColor rgb="FF0070C0"/>
  </sheetPr>
  <dimension ref="A1:AK64"/>
  <sheetViews>
    <sheetView showGridLines="0" showRowColHeaders="0" tabSelected="1" zoomScale="45" zoomScaleNormal="45" workbookViewId="0">
      <selection activeCell="AJ24" sqref="AJ2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cols>
    <col min="1" max="1" width="7.28515625" customWidth="1"/>
    <col min="3" max="3" width="4.85546875" customWidth="1"/>
    <col min="5" max="5" width="2.7109375" customWidth="1"/>
    <col min="6" max="6" width="1.28515625" customWidth="1"/>
    <col min="7" max="7" width="13.7109375" customWidth="1"/>
  </cols>
  <sheetData>
    <row r="1" spans="3:32" s="140" customFormat="1" x14ac:dyDescent="0.25"/>
    <row r="2" spans="3:32" s="140" customFormat="1" x14ac:dyDescent="0.25"/>
    <row r="3" spans="3:32" s="140" customFormat="1" x14ac:dyDescent="0.25"/>
    <row r="4" spans="3:32" s="140" customFormat="1" x14ac:dyDescent="0.25"/>
    <row r="5" spans="3:32" s="93" customFormat="1" x14ac:dyDescent="0.25"/>
    <row r="6" spans="3:32" s="93" customFormat="1" ht="11.25" customHeight="1" x14ac:dyDescent="0.25"/>
    <row r="7" spans="3:32" s="93" customFormat="1" ht="9.75" customHeight="1" x14ac:dyDescent="0.25"/>
    <row r="8" spans="3:32" s="93" customFormat="1" x14ac:dyDescent="0.25"/>
    <row r="9" spans="3:32" s="93" customFormat="1" x14ac:dyDescent="0.25"/>
    <row r="10" spans="3:32" s="93" customFormat="1" x14ac:dyDescent="0.25"/>
    <row r="11" spans="3:32" s="93" customFormat="1" x14ac:dyDescent="0.25"/>
    <row r="12" spans="3:32" s="93" customFormat="1" x14ac:dyDescent="0.25"/>
    <row r="13" spans="3:32" s="93" customFormat="1" ht="36.75" customHeight="1" x14ac:dyDescent="0.25">
      <c r="C13" s="373" t="str">
        <f>'📋 Datos Generales'!E6&amp;"   |   DUA: "&amp;'📋 Datos Generales'!E5&amp;"   |   País: "&amp;'📋 Datos Generales'!E9&amp;"   |   Proveedor: "&amp;'📋 Datos Generales'!E10&amp;"   |   Incoterm: "&amp;'📋 Datos Generales'!E11&amp;"   |   TC: S/."&amp;TEXT('📋 Datos Generales'!E19,"0.000")</f>
        <v>EMPRESA IMPORTADORA S.A.C.   |   DUA: DAM-2025-000001   |   País: China   |   Proveedor: HWPI Co. Ltd.   |   Incoterm: FOB   |   TC: S/.3.720</v>
      </c>
      <c r="D13" s="373"/>
      <c r="E13" s="373"/>
      <c r="F13" s="373"/>
      <c r="G13" s="373"/>
      <c r="H13" s="373"/>
      <c r="I13" s="373"/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  <c r="Z13" s="373"/>
      <c r="AA13" s="373"/>
      <c r="AB13" s="373"/>
      <c r="AC13" s="373"/>
      <c r="AD13" s="373"/>
      <c r="AE13" s="373"/>
      <c r="AF13" s="373"/>
    </row>
    <row r="14" spans="3:32" s="134" customFormat="1" ht="11.25" customHeight="1" x14ac:dyDescent="0.25">
      <c r="D14" s="372"/>
      <c r="E14" s="372"/>
      <c r="F14" s="372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</row>
    <row r="15" spans="3:32" s="134" customFormat="1" ht="30" customHeight="1" x14ac:dyDescent="0.25">
      <c r="D15" s="372"/>
      <c r="E15" s="372"/>
      <c r="F15" s="372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</row>
    <row r="16" spans="3:32" s="134" customFormat="1" ht="30" customHeight="1" x14ac:dyDescent="0.25"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</row>
    <row r="17" spans="4:37" s="137" customFormat="1" ht="30" customHeight="1" x14ac:dyDescent="0.25"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</row>
    <row r="18" spans="4:37" s="137" customFormat="1" ht="30" customHeight="1" x14ac:dyDescent="0.25"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</row>
    <row r="19" spans="4:37" s="137" customFormat="1" ht="30" customHeight="1" x14ac:dyDescent="0.25"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</row>
    <row r="20" spans="4:37" s="86" customFormat="1" x14ac:dyDescent="0.25">
      <c r="AK20" s="86" t="s">
        <v>412</v>
      </c>
    </row>
    <row r="21" spans="4:37" s="86" customFormat="1" x14ac:dyDescent="0.25"/>
    <row r="22" spans="4:37" s="86" customFormat="1" x14ac:dyDescent="0.25"/>
    <row r="23" spans="4:37" s="86" customFormat="1" x14ac:dyDescent="0.25">
      <c r="AH23" s="138"/>
    </row>
    <row r="24" spans="4:37" s="86" customFormat="1" x14ac:dyDescent="0.25">
      <c r="N24" s="139"/>
    </row>
    <row r="25" spans="4:37" s="86" customFormat="1" ht="8.25" customHeight="1" x14ac:dyDescent="0.25">
      <c r="N25" s="139"/>
    </row>
    <row r="26" spans="4:37" s="86" customFormat="1" ht="19.5" customHeight="1" x14ac:dyDescent="0.25">
      <c r="N26" s="139"/>
    </row>
    <row r="27" spans="4:37" s="86" customFormat="1" ht="22.5" customHeight="1" x14ac:dyDescent="0.25"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371"/>
      <c r="V27" s="371"/>
      <c r="W27" s="371"/>
      <c r="X27" s="371"/>
      <c r="Y27" s="371"/>
      <c r="Z27" s="143"/>
      <c r="AA27" s="143"/>
    </row>
    <row r="28" spans="4:37" s="86" customFormat="1" x14ac:dyDescent="0.25"/>
    <row r="29" spans="4:37" s="86" customFormat="1" x14ac:dyDescent="0.25"/>
    <row r="30" spans="4:37" s="86" customFormat="1" x14ac:dyDescent="0.25"/>
    <row r="31" spans="4:37" s="86" customFormat="1" x14ac:dyDescent="0.25"/>
    <row r="32" spans="4:37" s="86" customFormat="1" x14ac:dyDescent="0.25"/>
    <row r="33" s="86" customFormat="1" x14ac:dyDescent="0.25"/>
    <row r="34" s="86" customFormat="1" x14ac:dyDescent="0.25"/>
    <row r="35" s="86" customFormat="1" x14ac:dyDescent="0.25"/>
    <row r="36" s="86" customFormat="1" x14ac:dyDescent="0.25"/>
    <row r="37" s="86" customFormat="1" x14ac:dyDescent="0.25"/>
    <row r="38" s="86" customFormat="1" x14ac:dyDescent="0.25"/>
    <row r="39" s="86" customFormat="1" x14ac:dyDescent="0.25"/>
    <row r="40" s="86" customFormat="1" x14ac:dyDescent="0.25"/>
    <row r="41" s="86" customFormat="1" x14ac:dyDescent="0.25"/>
    <row r="42" s="86" customFormat="1" x14ac:dyDescent="0.25"/>
    <row r="43" s="86" customFormat="1" x14ac:dyDescent="0.25"/>
    <row r="44" s="86" customFormat="1" x14ac:dyDescent="0.25"/>
    <row r="45" s="86" customFormat="1" x14ac:dyDescent="0.25"/>
    <row r="46" s="86" customFormat="1" x14ac:dyDescent="0.25"/>
    <row r="47" s="86" customFormat="1" x14ac:dyDescent="0.25"/>
    <row r="48" s="86" customFormat="1" x14ac:dyDescent="0.25"/>
    <row r="49" spans="1:31" s="86" customFormat="1" x14ac:dyDescent="0.25"/>
    <row r="50" spans="1:31" s="86" customFormat="1" x14ac:dyDescent="0.25"/>
    <row r="51" spans="1:31" s="86" customFormat="1" x14ac:dyDescent="0.25"/>
    <row r="52" spans="1:31" s="86" customFormat="1" x14ac:dyDescent="0.25"/>
    <row r="53" spans="1:31" s="86" customFormat="1" x14ac:dyDescent="0.25"/>
    <row r="54" spans="1:31" s="86" customFormat="1" x14ac:dyDescent="0.25"/>
    <row r="55" spans="1:31" s="86" customFormat="1" x14ac:dyDescent="0.25"/>
    <row r="56" spans="1:31" s="86" customFormat="1" x14ac:dyDescent="0.25"/>
    <row r="57" spans="1:31" s="86" customFormat="1" x14ac:dyDescent="0.25"/>
    <row r="58" spans="1:31" s="309" customFormat="1" ht="312" customHeight="1" x14ac:dyDescent="0.25">
      <c r="A58" s="308"/>
      <c r="B58" s="308"/>
      <c r="C58" s="308"/>
      <c r="D58" s="308"/>
      <c r="E58" s="308"/>
      <c r="F58" s="308"/>
      <c r="G58" s="308"/>
      <c r="H58" s="308"/>
      <c r="I58" s="308"/>
      <c r="J58" s="308"/>
      <c r="K58" s="308"/>
      <c r="L58" s="308"/>
      <c r="M58" s="308"/>
      <c r="N58" s="308"/>
      <c r="O58" s="308"/>
      <c r="P58" s="308"/>
      <c r="Q58" s="308"/>
      <c r="R58" s="308"/>
      <c r="S58" s="308"/>
      <c r="T58" s="308"/>
      <c r="U58" s="308"/>
      <c r="V58" s="308"/>
      <c r="W58" s="308"/>
      <c r="X58" s="308"/>
      <c r="Y58" s="308"/>
      <c r="Z58" s="308"/>
      <c r="AA58" s="308"/>
      <c r="AB58" s="308"/>
      <c r="AC58" s="308"/>
      <c r="AD58" s="308"/>
      <c r="AE58" s="308"/>
    </row>
    <row r="59" spans="1:31" s="86" customFormat="1" x14ac:dyDescent="0.25"/>
    <row r="60" spans="1:31" s="86" customFormat="1" x14ac:dyDescent="0.25"/>
    <row r="61" spans="1:31" s="86" customFormat="1" x14ac:dyDescent="0.25"/>
    <row r="62" spans="1:31" s="86" customFormat="1" x14ac:dyDescent="0.25"/>
    <row r="63" spans="1:31" s="86" customFormat="1" x14ac:dyDescent="0.25"/>
    <row r="64" spans="1:31" s="86" customFormat="1" x14ac:dyDescent="0.25"/>
  </sheetData>
  <mergeCells count="3">
    <mergeCell ref="G27:Y27"/>
    <mergeCell ref="D14:F15"/>
    <mergeCell ref="C13:AF13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C870-2223-4AEF-AC18-75F38D8C96A2}">
  <dimension ref="A1:T209"/>
  <sheetViews>
    <sheetView showGridLines="0" workbookViewId="0">
      <selection activeCell="E10" sqref="E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1" width="1.5703125" style="144" customWidth="1"/>
    <col min="2" max="2" width="31.85546875" style="144" bestFit="1" customWidth="1"/>
    <col min="3" max="3" width="28.42578125" style="144" bestFit="1" customWidth="1"/>
    <col min="4" max="19" width="11" style="144" customWidth="1"/>
    <col min="20" max="20" width="1.5703125" style="144" customWidth="1"/>
    <col min="21" max="16384" width="8.7109375" style="144"/>
  </cols>
  <sheetData>
    <row r="1" spans="1:20" ht="4.5" customHeight="1" x14ac:dyDescent="0.25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</row>
    <row r="2" spans="1:20" ht="49.5" customHeight="1" x14ac:dyDescent="0.25">
      <c r="A2" s="145"/>
      <c r="B2" s="504" t="s">
        <v>349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4"/>
      <c r="N2" s="504"/>
      <c r="O2" s="504"/>
      <c r="P2" s="504"/>
      <c r="Q2" s="504"/>
      <c r="R2" s="504"/>
      <c r="S2" s="504"/>
      <c r="T2" s="145"/>
    </row>
    <row r="3" spans="1:20" ht="4.5" customHeight="1" x14ac:dyDescent="0.2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</row>
    <row r="4" spans="1:20" s="158" customFormat="1" ht="13.5" customHeight="1" x14ac:dyDescent="0.25">
      <c r="A4" s="159"/>
      <c r="B4" s="157" t="s">
        <v>350</v>
      </c>
      <c r="C4" s="505">
        <f>'[1]🧾 Tributos Aduana'!C5</f>
        <v>14213.76</v>
      </c>
      <c r="D4" s="505"/>
      <c r="E4" s="157" t="s">
        <v>351</v>
      </c>
      <c r="F4" s="505">
        <f>'[1]🧾 Tributos Aduana'!C13</f>
        <v>14687.5582105263</v>
      </c>
      <c r="G4" s="505"/>
      <c r="H4" s="157" t="s">
        <v>352</v>
      </c>
      <c r="I4" s="506">
        <f>'[1]🧮 Costos x Producto'!D4</f>
        <v>0</v>
      </c>
      <c r="J4" s="506"/>
      <c r="K4" s="157" t="s">
        <v>353</v>
      </c>
      <c r="L4" s="507">
        <f>'[1]📋 Datos Generales'!C19</f>
        <v>3.72</v>
      </c>
      <c r="M4" s="507"/>
      <c r="N4" s="157" t="s">
        <v>354</v>
      </c>
      <c r="O4" s="505">
        <f>'[1]🧮 Costos x Producto'!D3</f>
        <v>0</v>
      </c>
      <c r="P4" s="505"/>
      <c r="Q4" s="157" t="s">
        <v>355</v>
      </c>
      <c r="R4" s="505">
        <f>'[1]🏦 Crédito Fiscal'!C10</f>
        <v>6341.0972926315799</v>
      </c>
      <c r="S4" s="505"/>
      <c r="T4" s="156"/>
    </row>
    <row r="5" spans="1:20" ht="3.75" customHeight="1" x14ac:dyDescent="0.25">
      <c r="A5" s="145"/>
      <c r="B5" s="146"/>
      <c r="C5" s="147"/>
      <c r="D5" s="148"/>
      <c r="E5" s="149"/>
      <c r="F5" s="147"/>
      <c r="G5" s="150"/>
      <c r="H5" s="151"/>
      <c r="I5" s="152"/>
      <c r="J5" s="153"/>
      <c r="K5" s="153"/>
      <c r="L5" s="152"/>
      <c r="M5" s="151"/>
      <c r="N5" s="150"/>
      <c r="O5" s="147"/>
      <c r="P5" s="149"/>
      <c r="Q5" s="148"/>
      <c r="R5" s="147"/>
      <c r="S5" s="146"/>
      <c r="T5" s="145"/>
    </row>
    <row r="6" spans="1:20" ht="21.75" customHeight="1" x14ac:dyDescent="0.25">
      <c r="A6" s="145"/>
      <c r="B6" s="508" t="s">
        <v>356</v>
      </c>
      <c r="C6" s="508"/>
      <c r="D6" s="508"/>
      <c r="E6" s="508"/>
      <c r="F6" s="508"/>
      <c r="G6" s="508"/>
      <c r="H6" s="508"/>
      <c r="I6" s="508"/>
      <c r="J6" s="508"/>
      <c r="K6" s="508"/>
      <c r="L6" s="508"/>
      <c r="M6" s="508"/>
      <c r="N6" s="508"/>
      <c r="O6" s="508"/>
      <c r="P6" s="508"/>
      <c r="Q6" s="508"/>
      <c r="R6" s="508"/>
      <c r="S6" s="508"/>
      <c r="T6" s="145"/>
    </row>
    <row r="7" spans="1:20" ht="36" customHeight="1" x14ac:dyDescent="0.25">
      <c r="A7" s="145"/>
      <c r="B7" s="160" t="s">
        <v>133</v>
      </c>
      <c r="C7" s="160" t="s">
        <v>134</v>
      </c>
      <c r="D7" s="160" t="s">
        <v>357</v>
      </c>
      <c r="E7" s="160" t="s">
        <v>136</v>
      </c>
      <c r="F7" s="160" t="s">
        <v>358</v>
      </c>
      <c r="G7" s="160" t="s">
        <v>359</v>
      </c>
      <c r="H7" s="160" t="s">
        <v>360</v>
      </c>
      <c r="I7" s="160" t="s">
        <v>361</v>
      </c>
      <c r="J7" s="160" t="s">
        <v>362</v>
      </c>
      <c r="K7" s="145"/>
      <c r="L7" s="145"/>
      <c r="M7" s="145"/>
      <c r="N7" s="145"/>
      <c r="O7" s="145"/>
      <c r="P7" s="145"/>
      <c r="Q7" s="145"/>
      <c r="R7" s="145"/>
      <c r="S7" s="145"/>
      <c r="T7" s="145"/>
    </row>
    <row r="8" spans="1:20" ht="21.75" customHeight="1" thickBot="1" x14ac:dyDescent="0.3">
      <c r="A8" s="145"/>
      <c r="B8" s="164">
        <f>1</f>
        <v>1</v>
      </c>
      <c r="C8" s="165" t="s">
        <v>422</v>
      </c>
      <c r="D8" s="166" t="str">
        <f>'[1]🧾 Factura Comercial'!D4</f>
        <v>Unid.</v>
      </c>
      <c r="E8" s="167">
        <f>'[1]🧾 Factura Comercial'!E4</f>
        <v>480</v>
      </c>
      <c r="F8" s="168">
        <f>'[1]🧾 Factura Comercial'!F4</f>
        <v>1.21</v>
      </c>
      <c r="G8" s="168">
        <f>'[1]🧾 Factura Comercial'!G4</f>
        <v>580.79999999999995</v>
      </c>
      <c r="H8" s="169">
        <f>IF('[1]🧾 Tributos Aduana'!C5=0,0,'[1]🧾 Factura Comercial'!G4/'[1]🧾 Tributos Aduana'!C5)</f>
        <v>4.0861812778603263E-2</v>
      </c>
      <c r="I8" s="170">
        <f>'[1]🧾 Factura Comercial'!F4*'[1]📋 Datos Generales'!C19</f>
        <v>4.5011999999999999</v>
      </c>
      <c r="J8" s="170">
        <f>'[1]🧾 Factura Comercial'!G4*'[1]📋 Datos Generales'!C19</f>
        <v>2160.576</v>
      </c>
      <c r="K8" s="145"/>
      <c r="L8" s="145"/>
      <c r="M8" s="145"/>
      <c r="N8" s="145"/>
      <c r="O8" s="145"/>
      <c r="P8" s="145"/>
      <c r="Q8" s="145"/>
      <c r="R8" s="145"/>
      <c r="S8" s="145"/>
      <c r="T8" s="145"/>
    </row>
    <row r="9" spans="1:20" ht="21.75" customHeight="1" thickTop="1" thickBot="1" x14ac:dyDescent="0.3">
      <c r="A9" s="145"/>
      <c r="B9" s="171">
        <f>2</f>
        <v>2</v>
      </c>
      <c r="C9" s="172" t="str">
        <f>'[1]🧾 Factura Comercial'!C5</f>
        <v>Friction Cars OPP Bag 23cm</v>
      </c>
      <c r="D9" s="173" t="str">
        <f>'[1]🧾 Factura Comercial'!D5</f>
        <v>Unid.</v>
      </c>
      <c r="E9" s="174">
        <f>'[1]🧾 Factura Comercial'!E5</f>
        <v>2880</v>
      </c>
      <c r="F9" s="175">
        <f>'[1]🧾 Factura Comercial'!F5</f>
        <v>0.68</v>
      </c>
      <c r="G9" s="175">
        <f>'[1]🧾 Factura Comercial'!G5</f>
        <v>1958.4</v>
      </c>
      <c r="H9" s="176">
        <f>IF('[1]🧾 Tributos Aduana'!C5=0,0,'[1]🧾 Factura Comercial'!G5/'[1]🧾 Tributos Aduana'!C5)</f>
        <v>0.13778198027826558</v>
      </c>
      <c r="I9" s="177">
        <f>'[1]🧾 Factura Comercial'!F5*'[1]📋 Datos Generales'!C19</f>
        <v>2.5296000000000003</v>
      </c>
      <c r="J9" s="177">
        <f>'[1]🧾 Factura Comercial'!G5*'[1]📋 Datos Generales'!C19</f>
        <v>7285.2480000000005</v>
      </c>
      <c r="K9" s="145"/>
      <c r="L9" s="145" t="s">
        <v>143</v>
      </c>
      <c r="M9" s="145"/>
      <c r="N9" s="145"/>
      <c r="O9" s="145"/>
      <c r="P9" s="145"/>
      <c r="Q9" s="145"/>
      <c r="R9" s="145"/>
      <c r="S9" s="145"/>
      <c r="T9" s="145"/>
    </row>
    <row r="10" spans="1:20" ht="21.75" customHeight="1" thickTop="1" thickBot="1" x14ac:dyDescent="0.3">
      <c r="A10" s="145"/>
      <c r="B10" s="178">
        <f>3</f>
        <v>3</v>
      </c>
      <c r="C10" s="179" t="str">
        <f>'[1]🧾 Factura Comercial'!C6</f>
        <v>Free Wheel Motor OPP Bag 21cm</v>
      </c>
      <c r="D10" s="180" t="str">
        <f>'[1]🧾 Factura Comercial'!D6</f>
        <v>Unid.</v>
      </c>
      <c r="E10" s="181">
        <f>'[1]🧾 Factura Comercial'!E6</f>
        <v>2880</v>
      </c>
      <c r="F10" s="182">
        <f>'[1]🧾 Factura Comercial'!F6</f>
        <v>0.4</v>
      </c>
      <c r="G10" s="182">
        <f>'[1]🧾 Factura Comercial'!G6</f>
        <v>1152</v>
      </c>
      <c r="H10" s="183">
        <f>IF('[1]🧾 Tributos Aduana'!C5=0,0,'[1]🧾 Factura Comercial'!G6/'[1]🧾 Tributos Aduana'!C5)</f>
        <v>8.1048223693097388E-2</v>
      </c>
      <c r="I10" s="184">
        <f>'[1]🧾 Factura Comercial'!F6*'[1]📋 Datos Generales'!C19</f>
        <v>1.4880000000000002</v>
      </c>
      <c r="J10" s="184">
        <f>'[1]🧾 Factura Comercial'!G6*'[1]📋 Datos Generales'!C19</f>
        <v>4285.4400000000005</v>
      </c>
      <c r="K10" s="145"/>
      <c r="L10" s="145"/>
      <c r="M10" s="145"/>
      <c r="N10" s="145"/>
      <c r="O10" s="145"/>
      <c r="P10" s="145"/>
      <c r="Q10" s="145"/>
      <c r="R10" s="145"/>
      <c r="S10" s="145"/>
      <c r="T10" s="145"/>
    </row>
    <row r="11" spans="1:20" ht="21.75" customHeight="1" thickTop="1" thickBot="1" x14ac:dyDescent="0.3">
      <c r="A11" s="145"/>
      <c r="B11" s="171">
        <f>4</f>
        <v>4</v>
      </c>
      <c r="C11" s="172" t="str">
        <f>'[1]🧾 Factura Comercial'!C7</f>
        <v>Friction Cars OPP Bag 22cm</v>
      </c>
      <c r="D11" s="173" t="str">
        <f>'[1]🧾 Factura Comercial'!D7</f>
        <v>Unid.</v>
      </c>
      <c r="E11" s="174">
        <f>'[1]🧾 Factura Comercial'!E7</f>
        <v>10224</v>
      </c>
      <c r="F11" s="175">
        <f>'[1]🧾 Factura Comercial'!F7</f>
        <v>0.34</v>
      </c>
      <c r="G11" s="175">
        <f>'[1]🧾 Factura Comercial'!G7</f>
        <v>3476.16</v>
      </c>
      <c r="H11" s="176">
        <f>IF('[1]🧾 Tributos Aduana'!C5=0,0,'[1]🧾 Factura Comercial'!G7/'[1]🧾 Tributos Aduana'!C5)</f>
        <v>0.24456301499392136</v>
      </c>
      <c r="I11" s="177">
        <f>'[1]🧾 Factura Comercial'!F7*'[1]📋 Datos Generales'!C19</f>
        <v>1.2648000000000001</v>
      </c>
      <c r="J11" s="177">
        <f>'[1]🧾 Factura Comercial'!G7*'[1]📋 Datos Generales'!C19</f>
        <v>12931.315200000001</v>
      </c>
      <c r="K11" s="145"/>
      <c r="L11" s="145"/>
      <c r="M11" s="145"/>
      <c r="N11" s="145"/>
      <c r="O11" s="145"/>
      <c r="P11" s="145"/>
      <c r="Q11" s="145"/>
      <c r="R11" s="145"/>
      <c r="S11" s="145"/>
      <c r="T11" s="145"/>
    </row>
    <row r="12" spans="1:20" ht="21.75" customHeight="1" thickTop="1" thickBot="1" x14ac:dyDescent="0.3">
      <c r="A12" s="145"/>
      <c r="B12" s="178">
        <f>5</f>
        <v>5</v>
      </c>
      <c r="C12" s="179" t="str">
        <f>'[1]🧾 Factura Comercial'!C8</f>
        <v>Pull Line Friction Car OPP Bag</v>
      </c>
      <c r="D12" s="180" t="str">
        <f>'[1]🧾 Factura Comercial'!D8</f>
        <v>Unid.</v>
      </c>
      <c r="E12" s="181">
        <f>'[1]🧾 Factura Comercial'!E8</f>
        <v>8640</v>
      </c>
      <c r="F12" s="182">
        <f>'[1]🧾 Factura Comercial'!F8</f>
        <v>0.26</v>
      </c>
      <c r="G12" s="182">
        <f>'[1]🧾 Factura Comercial'!G8</f>
        <v>2246.4</v>
      </c>
      <c r="H12" s="183">
        <f>IF('[1]🧾 Tributos Aduana'!C5=0,0,'[1]🧾 Factura Comercial'!G8/'[1]🧾 Tributos Aduana'!C5)</f>
        <v>0.15804403620153992</v>
      </c>
      <c r="I12" s="184">
        <f>'[1]🧾 Factura Comercial'!F8*'[1]📋 Datos Generales'!C19</f>
        <v>0.96720000000000006</v>
      </c>
      <c r="J12" s="184">
        <f>'[1]🧾 Factura Comercial'!G8*'[1]📋 Datos Generales'!C19</f>
        <v>8356.6080000000002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45"/>
    </row>
    <row r="13" spans="1:20" ht="21.75" customHeight="1" thickTop="1" thickBot="1" x14ac:dyDescent="0.3">
      <c r="A13" s="145"/>
      <c r="B13" s="171">
        <f>6</f>
        <v>6</v>
      </c>
      <c r="C13" s="172" t="str">
        <f>'[1]🧾 Factura Comercial'!C9</f>
        <v>Friction Car OPP Bag</v>
      </c>
      <c r="D13" s="173" t="str">
        <f>'[1]🧾 Factura Comercial'!D9</f>
        <v>Unid.</v>
      </c>
      <c r="E13" s="174">
        <f>'[1]🧾 Factura Comercial'!E9</f>
        <v>2160</v>
      </c>
      <c r="F13" s="175">
        <f>'[1]🧾 Factura Comercial'!F9</f>
        <v>0.28999999999999998</v>
      </c>
      <c r="G13" s="175">
        <f>'[1]🧾 Factura Comercial'!G9</f>
        <v>626.4</v>
      </c>
      <c r="H13" s="176">
        <f>IF('[1]🧾 Tributos Aduana'!C5=0,0,'[1]🧾 Factura Comercial'!G9/'[1]🧾 Tributos Aduana'!C5)</f>
        <v>4.4069971633121707E-2</v>
      </c>
      <c r="I13" s="177">
        <f>'[1]🧾 Factura Comercial'!F9*'[1]📋 Datos Generales'!C19</f>
        <v>1.0788</v>
      </c>
      <c r="J13" s="177">
        <f>'[1]🧾 Factura Comercial'!G9*'[1]📋 Datos Generales'!C19</f>
        <v>2330.2080000000001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45"/>
    </row>
    <row r="14" spans="1:20" ht="21.75" customHeight="1" thickTop="1" thickBot="1" x14ac:dyDescent="0.3">
      <c r="A14" s="145"/>
      <c r="B14" s="178">
        <f>7</f>
        <v>7</v>
      </c>
      <c r="C14" s="179" t="str">
        <f>'[1]🧾 Factura Comercial'!C10</f>
        <v>Free Wheel Ride on Digger Handle</v>
      </c>
      <c r="D14" s="180" t="str">
        <f>'[1]🧾 Factura Comercial'!D10</f>
        <v>Unid.</v>
      </c>
      <c r="E14" s="181">
        <f>'[1]🧾 Factura Comercial'!E10</f>
        <v>240</v>
      </c>
      <c r="F14" s="182">
        <f>'[1]🧾 Factura Comercial'!F10</f>
        <v>5.71</v>
      </c>
      <c r="G14" s="182">
        <f>'[1]🧾 Factura Comercial'!G10</f>
        <v>1370.4</v>
      </c>
      <c r="H14" s="183">
        <f>IF('[1]🧾 Tributos Aduana'!C5=0,0,'[1]🧾 Factura Comercial'!G10/'[1]🧾 Tributos Aduana'!C5)</f>
        <v>9.6413616101580446E-2</v>
      </c>
      <c r="I14" s="184">
        <f>'[1]🧾 Factura Comercial'!F10*'[1]📋 Datos Generales'!C19</f>
        <v>21.241200000000003</v>
      </c>
      <c r="J14" s="184">
        <f>'[1]🧾 Factura Comercial'!G10*'[1]📋 Datos Generales'!C19</f>
        <v>5097.8880000000008</v>
      </c>
      <c r="K14" s="145"/>
      <c r="L14" s="145"/>
      <c r="M14" s="145"/>
      <c r="N14" s="145"/>
      <c r="O14" s="145"/>
      <c r="P14" s="145"/>
      <c r="Q14" s="145"/>
      <c r="R14" s="145"/>
      <c r="S14" s="145"/>
      <c r="T14" s="145"/>
    </row>
    <row r="15" spans="1:20" ht="21.75" customHeight="1" thickTop="1" thickBot="1" x14ac:dyDescent="0.3">
      <c r="A15" s="145"/>
      <c r="B15" s="171">
        <f>8</f>
        <v>8</v>
      </c>
      <c r="C15" s="172" t="str">
        <f>'[1]🧾 Factura Comercial'!C11</f>
        <v>Friction Car with Music and Light</v>
      </c>
      <c r="D15" s="173" t="str">
        <f>'[1]🧾 Factura Comercial'!D11</f>
        <v>Unid.</v>
      </c>
      <c r="E15" s="174">
        <f>'[1]🧾 Factura Comercial'!E11</f>
        <v>1920</v>
      </c>
      <c r="F15" s="175">
        <f>'[1]🧾 Factura Comercial'!F11</f>
        <v>0.76</v>
      </c>
      <c r="G15" s="175">
        <f>'[1]🧾 Factura Comercial'!G11</f>
        <v>1459.2</v>
      </c>
      <c r="H15" s="176">
        <f>IF('[1]🧾 Tributos Aduana'!C5=0,0,'[1]🧾 Factura Comercial'!G11/'[1]🧾 Tributos Aduana'!C5)</f>
        <v>0.10266108334459004</v>
      </c>
      <c r="I15" s="177">
        <f>'[1]🧾 Factura Comercial'!F11*'[1]📋 Datos Generales'!C19</f>
        <v>2.8272000000000004</v>
      </c>
      <c r="J15" s="177">
        <f>'[1]🧾 Factura Comercial'!G11*'[1]📋 Datos Generales'!C19</f>
        <v>5428.2240000000002</v>
      </c>
      <c r="K15" s="145"/>
      <c r="L15" s="145"/>
      <c r="M15" s="145"/>
      <c r="N15" s="145"/>
      <c r="O15" s="145"/>
      <c r="P15" s="145"/>
      <c r="Q15" s="145"/>
      <c r="R15" s="145"/>
      <c r="S15" s="145"/>
      <c r="T15" s="145"/>
    </row>
    <row r="16" spans="1:20" ht="21.75" customHeight="1" thickTop="1" thickBot="1" x14ac:dyDescent="0.3">
      <c r="A16" s="145"/>
      <c r="B16" s="178">
        <f>9</f>
        <v>9</v>
      </c>
      <c r="C16" s="179" t="str">
        <f>'[1]🧾 Factura Comercial'!C12</f>
        <v>Pull Line Function Car OPP Bag</v>
      </c>
      <c r="D16" s="180" t="str">
        <f>'[1]🧾 Factura Comercial'!D12</f>
        <v>Unid.</v>
      </c>
      <c r="E16" s="181">
        <f>'[1]🧾 Factura Comercial'!E12</f>
        <v>4800</v>
      </c>
      <c r="F16" s="182">
        <f>'[1]🧾 Factura Comercial'!F12</f>
        <v>0.28000000000000003</v>
      </c>
      <c r="G16" s="182">
        <f>'[1]🧾 Factura Comercial'!G12</f>
        <v>1344</v>
      </c>
      <c r="H16" s="183">
        <f>IF('[1]🧾 Tributos Aduana'!C5=0,0,'[1]🧾 Factura Comercial'!G12/'[1]🧾 Tributos Aduana'!C5)</f>
        <v>9.455626097528029E-2</v>
      </c>
      <c r="I16" s="184">
        <f>'[1]🧾 Factura Comercial'!F12*'[1]📋 Datos Generales'!C19</f>
        <v>1.0416000000000001</v>
      </c>
      <c r="J16" s="184">
        <f>'[1]🧾 Factura Comercial'!G12*'[1]📋 Datos Generales'!C19</f>
        <v>4999.68</v>
      </c>
      <c r="K16" s="145"/>
      <c r="L16" s="145"/>
      <c r="M16" s="145"/>
      <c r="N16" s="145"/>
      <c r="O16" s="145"/>
      <c r="P16" s="145"/>
      <c r="Q16" s="145"/>
      <c r="R16" s="145"/>
      <c r="S16" s="145"/>
      <c r="T16" s="145"/>
    </row>
    <row r="17" spans="1:20" s="162" customFormat="1" ht="21.75" customHeight="1" thickTop="1" thickBot="1" x14ac:dyDescent="0.3">
      <c r="A17" s="161"/>
      <c r="B17" s="185"/>
      <c r="C17" s="503" t="s">
        <v>363</v>
      </c>
      <c r="D17" s="503"/>
      <c r="E17" s="186">
        <f>SUM('[1]🧾 Factura Comercial'!E4:E12)</f>
        <v>34224</v>
      </c>
      <c r="F17" s="187"/>
      <c r="G17" s="188">
        <f>'[1]🧾 Tributos Aduana'!C5</f>
        <v>14213.76</v>
      </c>
      <c r="H17" s="189">
        <f>1</f>
        <v>1</v>
      </c>
      <c r="I17" s="187"/>
      <c r="J17" s="190">
        <f>'[1]🧾 Tributos Aduana'!C5*'[1]📋 Datos Generales'!C19</f>
        <v>52875.1872</v>
      </c>
      <c r="K17" s="161"/>
      <c r="L17" s="161"/>
      <c r="M17" s="161"/>
      <c r="N17" s="161"/>
      <c r="O17" s="161"/>
      <c r="P17" s="161"/>
      <c r="Q17" s="161"/>
      <c r="R17" s="161"/>
      <c r="S17" s="161"/>
      <c r="T17" s="161"/>
    </row>
    <row r="18" spans="1:20" ht="7.5" customHeight="1" thickTop="1" x14ac:dyDescent="0.25">
      <c r="A18" s="145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</row>
    <row r="19" spans="1:20" ht="21.75" customHeight="1" x14ac:dyDescent="0.25">
      <c r="A19" s="145"/>
      <c r="B19" s="509" t="s">
        <v>364</v>
      </c>
      <c r="C19" s="509"/>
      <c r="D19" s="509"/>
      <c r="E19" s="509"/>
      <c r="F19" s="509"/>
      <c r="G19" s="509"/>
      <c r="H19" s="509"/>
      <c r="I19" s="509"/>
      <c r="J19" s="509"/>
      <c r="K19" s="509"/>
      <c r="L19" s="509"/>
      <c r="M19" s="509"/>
      <c r="N19" s="509"/>
      <c r="O19" s="509"/>
      <c r="P19" s="509"/>
      <c r="Q19" s="509"/>
      <c r="R19" s="509"/>
      <c r="S19" s="509"/>
      <c r="T19" s="145"/>
    </row>
    <row r="20" spans="1:20" ht="39.75" customHeight="1" thickBot="1" x14ac:dyDescent="0.3">
      <c r="A20" s="145"/>
      <c r="B20" s="163" t="s">
        <v>133</v>
      </c>
      <c r="C20" s="163" t="s">
        <v>251</v>
      </c>
      <c r="D20" s="163" t="s">
        <v>139</v>
      </c>
      <c r="E20" s="163" t="s">
        <v>365</v>
      </c>
      <c r="F20" s="163" t="s">
        <v>366</v>
      </c>
      <c r="G20" s="163" t="s">
        <v>367</v>
      </c>
      <c r="H20" s="163" t="s">
        <v>368</v>
      </c>
      <c r="I20" s="163" t="s">
        <v>369</v>
      </c>
      <c r="J20" s="163" t="s">
        <v>370</v>
      </c>
      <c r="K20" s="163" t="s">
        <v>371</v>
      </c>
      <c r="L20" s="163" t="s">
        <v>372</v>
      </c>
      <c r="M20" s="163" t="s">
        <v>373</v>
      </c>
      <c r="N20" s="163" t="s">
        <v>374</v>
      </c>
      <c r="O20" s="163" t="s">
        <v>375</v>
      </c>
      <c r="P20" s="145"/>
      <c r="Q20" s="145"/>
      <c r="R20" s="145"/>
      <c r="S20" s="145"/>
      <c r="T20" s="145"/>
    </row>
    <row r="21" spans="1:20" ht="21.75" customHeight="1" thickTop="1" thickBot="1" x14ac:dyDescent="0.3">
      <c r="A21" s="145"/>
      <c r="B21" s="192">
        <f>1</f>
        <v>1</v>
      </c>
      <c r="C21" s="193" t="str">
        <f>'[1]🧾 Factura Comercial'!C4</f>
        <v>Friction Car Platform Cover</v>
      </c>
      <c r="D21" s="194">
        <f>'[1]🧮 Costos x Producto'!F6</f>
        <v>580.79999999999995</v>
      </c>
      <c r="E21" s="195">
        <f>IF('[1]🧾 Tributos Aduana'!C5=0,0,'[1]🧾 Tributos Aduana'!C16*('[1]🧾 Factura Comercial'!F4/'[1]🧾 Tributos Aduana'!C5))</f>
        <v>7.4998452204061414E-2</v>
      </c>
      <c r="F21" s="195">
        <f>IF('[1]🧾 Tributos Aduana'!C5=0,0,'[1]🧾 Tributos Aduana'!C17*('[1]🧾 Factura Comercial'!F4/'[1]🧾 Tributos Aduana'!C5))</f>
        <v>2.6475049529470034E-2</v>
      </c>
      <c r="G21" s="195">
        <f>IF('[1]🧾 Tributos Aduana'!C5=0,0,'[1]🧾 Tributos Aduana'!C18*('[1]🧾 Factura Comercial'!F4/'[1]🧾 Tributos Aduana'!C5))</f>
        <v>0.21205578256562654</v>
      </c>
      <c r="H21" s="195">
        <f>IF('[1]🧾 Tributos Aduana'!C5=0,0,'[1]🧾 Tributos Aduana'!C22*('[1]🧾 Factura Comercial'!F4/'[1]🧾 Tributos Aduana'!C5))</f>
        <v>5.4735249504705298E-2</v>
      </c>
      <c r="I21" s="195">
        <f t="shared" ref="I21:I29" si="0">D21+E21+F21+G21</f>
        <v>581.11352928429915</v>
      </c>
      <c r="J21" s="196">
        <f>D21*'[1]📋 Datos Generales'!C19</f>
        <v>2160.576</v>
      </c>
      <c r="K21" s="196">
        <f>E21*'[1]📋 Datos Generales'!C19</f>
        <v>0.27899424219910846</v>
      </c>
      <c r="L21" s="196">
        <f>F21*'[1]📋 Datos Generales'!C19</f>
        <v>9.8487184249628532E-2</v>
      </c>
      <c r="M21" s="196">
        <f>G21*'[1]📋 Datos Generales'!C19</f>
        <v>0.78884751114413076</v>
      </c>
      <c r="N21" s="197">
        <f t="shared" ref="N21:N29" si="1">D21+E21+F21+G21</f>
        <v>581.11352928429915</v>
      </c>
      <c r="O21" s="196">
        <f>N21*'[1]📋 Datos Generales'!C19</f>
        <v>2161.7423289375929</v>
      </c>
      <c r="P21" s="145"/>
      <c r="Q21" s="145"/>
      <c r="R21" s="145"/>
      <c r="S21" s="145"/>
      <c r="T21" s="145"/>
    </row>
    <row r="22" spans="1:20" ht="21.75" customHeight="1" thickTop="1" thickBot="1" x14ac:dyDescent="0.3">
      <c r="A22" s="145"/>
      <c r="B22" s="198">
        <f>2</f>
        <v>2</v>
      </c>
      <c r="C22" s="199" t="str">
        <f>'[1]🧾 Factura Comercial'!C5</f>
        <v>Friction Cars OPP Bag 23cm</v>
      </c>
      <c r="D22" s="200">
        <f>'[1]🧮 Costos x Producto'!F7</f>
        <v>1958.4</v>
      </c>
      <c r="E22" s="201">
        <f>IF('[1]🧾 Tributos Aduana'!C5=0,0,'[1]🧾 Tributos Aduana'!C16*('[1]🧾 Factura Comercial'!F5/'[1]🧾 Tributos Aduana'!C5))</f>
        <v>4.214789049484443E-2</v>
      </c>
      <c r="F22" s="201">
        <f>IF('[1]🧾 Tributos Aduana'!C5=0,0,'[1]🧾 Tributos Aduana'!C17*('[1]🧾 Factura Comercial'!F5/'[1]🧾 Tributos Aduana'!C5))</f>
        <v>1.4878540231437705E-2</v>
      </c>
      <c r="G22" s="201">
        <f>IF('[1]🧾 Tributos Aduana'!C5=0,0,'[1]🧾 Tributos Aduana'!C18*('[1]🧾 Factura Comercial'!F5/'[1]🧾 Tributos Aduana'!C5))</f>
        <v>0.11917184474762484</v>
      </c>
      <c r="H22" s="201">
        <f>IF('[1]🧾 Tributos Aduana'!C5=0,0,'[1]🧾 Tributos Aduana'!C22*('[1]🧾 Factura Comercial'!F5/'[1]🧾 Tributos Aduana'!C5))</f>
        <v>3.0760305506776532E-2</v>
      </c>
      <c r="I22" s="201">
        <f t="shared" si="0"/>
        <v>1958.5761982754739</v>
      </c>
      <c r="J22" s="202">
        <f>D22*'[1]📋 Datos Generales'!C19</f>
        <v>7285.2480000000005</v>
      </c>
      <c r="K22" s="202">
        <f>E22*'[1]📋 Datos Generales'!C19</f>
        <v>0.15679015264082127</v>
      </c>
      <c r="L22" s="202">
        <f>F22*'[1]📋 Datos Generales'!C19</f>
        <v>5.5348169660948264E-2</v>
      </c>
      <c r="M22" s="202">
        <f>G22*'[1]📋 Datos Generales'!C19</f>
        <v>0.44331926246116443</v>
      </c>
      <c r="N22" s="203">
        <f t="shared" si="1"/>
        <v>1958.5761982754739</v>
      </c>
      <c r="O22" s="202">
        <f>N22*'[1]📋 Datos Generales'!C19</f>
        <v>7285.9034575847636</v>
      </c>
      <c r="P22" s="145"/>
      <c r="Q22" s="145"/>
      <c r="R22" s="145"/>
      <c r="S22" s="145"/>
      <c r="T22" s="145"/>
    </row>
    <row r="23" spans="1:20" ht="21.75" customHeight="1" thickTop="1" thickBot="1" x14ac:dyDescent="0.3">
      <c r="A23" s="145"/>
      <c r="B23" s="192">
        <f>3</f>
        <v>3</v>
      </c>
      <c r="C23" s="193" t="str">
        <f>'[1]🧾 Factura Comercial'!C6</f>
        <v>Free Wheel Motor OPP Bag 21cm</v>
      </c>
      <c r="D23" s="194">
        <f>'[1]🧮 Costos x Producto'!F8</f>
        <v>1152</v>
      </c>
      <c r="E23" s="195">
        <f>IF('[1]🧾 Tributos Aduana'!C5=0,0,'[1]🧾 Tributos Aduana'!C16*('[1]🧾 Factura Comercial'!F6/'[1]🧾 Tributos Aduana'!C5))</f>
        <v>2.4792876761673199E-2</v>
      </c>
      <c r="F23" s="195">
        <f>IF('[1]🧾 Tributos Aduana'!C5=0,0,'[1]🧾 Tributos Aduana'!C17*('[1]🧾 Factura Comercial'!F6/'[1]🧾 Tributos Aduana'!C5))</f>
        <v>8.7520824890810044E-3</v>
      </c>
      <c r="G23" s="195">
        <f>IF('[1]🧾 Tributos Aduana'!C5=0,0,'[1]🧾 Tributos Aduana'!C18*('[1]🧾 Factura Comercial'!F6/'[1]🧾 Tributos Aduana'!C5))</f>
        <v>7.0101085145661671E-2</v>
      </c>
      <c r="H23" s="195">
        <f>IF('[1]🧾 Tributos Aduana'!C5=0,0,'[1]🧾 Tributos Aduana'!C22*('[1]🧾 Factura Comercial'!F6/'[1]🧾 Tributos Aduana'!C5))</f>
        <v>1.8094297356927375E-2</v>
      </c>
      <c r="I23" s="195">
        <f t="shared" si="0"/>
        <v>1152.1036460443963</v>
      </c>
      <c r="J23" s="196">
        <f>D23*'[1]📋 Datos Generales'!C19</f>
        <v>4285.4400000000005</v>
      </c>
      <c r="K23" s="196">
        <f>E23*'[1]📋 Datos Generales'!C19</f>
        <v>9.2229501553424298E-2</v>
      </c>
      <c r="L23" s="196">
        <f>F23*'[1]📋 Datos Generales'!C19</f>
        <v>3.2557746859381335E-2</v>
      </c>
      <c r="M23" s="196">
        <f>G23*'[1]📋 Datos Generales'!C19</f>
        <v>0.26077603674186145</v>
      </c>
      <c r="N23" s="197">
        <f t="shared" si="1"/>
        <v>1152.1036460443963</v>
      </c>
      <c r="O23" s="196">
        <f>N23*'[1]📋 Datos Generales'!C19</f>
        <v>4285.8255632851542</v>
      </c>
      <c r="P23" s="145"/>
      <c r="Q23" s="145"/>
      <c r="R23" s="145"/>
      <c r="S23" s="145"/>
      <c r="T23" s="145"/>
    </row>
    <row r="24" spans="1:20" ht="21.75" customHeight="1" thickTop="1" thickBot="1" x14ac:dyDescent="0.3">
      <c r="A24" s="145"/>
      <c r="B24" s="198">
        <f>4</f>
        <v>4</v>
      </c>
      <c r="C24" s="199" t="str">
        <f>'[1]🧾 Factura Comercial'!C7</f>
        <v>Friction Cars OPP Bag 22cm</v>
      </c>
      <c r="D24" s="200">
        <f>'[1]🧮 Costos x Producto'!F9</f>
        <v>3476.16</v>
      </c>
      <c r="E24" s="201">
        <f>IF('[1]🧾 Tributos Aduana'!C5=0,0,'[1]🧾 Tributos Aduana'!C16*('[1]🧾 Factura Comercial'!F7/'[1]🧾 Tributos Aduana'!C5))</f>
        <v>2.1073945247422215E-2</v>
      </c>
      <c r="F24" s="201">
        <f>IF('[1]🧾 Tributos Aduana'!C5=0,0,'[1]🧾 Tributos Aduana'!C17*('[1]🧾 Factura Comercial'!F7/'[1]🧾 Tributos Aduana'!C5))</f>
        <v>7.4392701157188525E-3</v>
      </c>
      <c r="G24" s="201">
        <f>IF('[1]🧾 Tributos Aduana'!C5=0,0,'[1]🧾 Tributos Aduana'!C18*('[1]🧾 Factura Comercial'!F7/'[1]🧾 Tributos Aduana'!C5))</f>
        <v>5.9585922373812418E-2</v>
      </c>
      <c r="H24" s="201">
        <f>IF('[1]🧾 Tributos Aduana'!C5=0,0,'[1]🧾 Tributos Aduana'!C22*('[1]🧾 Factura Comercial'!F7/'[1]🧾 Tributos Aduana'!C5))</f>
        <v>1.5380152753388266E-2</v>
      </c>
      <c r="I24" s="201">
        <f t="shared" si="0"/>
        <v>3476.248099137737</v>
      </c>
      <c r="J24" s="202">
        <f>D24*'[1]📋 Datos Generales'!C19</f>
        <v>12931.315200000001</v>
      </c>
      <c r="K24" s="202">
        <f>E24*'[1]📋 Datos Generales'!C19</f>
        <v>7.8395076320410637E-2</v>
      </c>
      <c r="L24" s="202">
        <f>F24*'[1]📋 Datos Generales'!C19</f>
        <v>2.7674084830474132E-2</v>
      </c>
      <c r="M24" s="202">
        <f>G24*'[1]📋 Datos Generales'!C19</f>
        <v>0.22165963123058222</v>
      </c>
      <c r="N24" s="203">
        <f t="shared" si="1"/>
        <v>3476.248099137737</v>
      </c>
      <c r="O24" s="202">
        <f>N24*'[1]📋 Datos Generales'!C19</f>
        <v>12931.642928792382</v>
      </c>
      <c r="P24" s="145"/>
      <c r="Q24" s="145"/>
      <c r="R24" s="145"/>
      <c r="S24" s="145"/>
      <c r="T24" s="145"/>
    </row>
    <row r="25" spans="1:20" ht="21.75" customHeight="1" thickTop="1" thickBot="1" x14ac:dyDescent="0.3">
      <c r="A25" s="145"/>
      <c r="B25" s="192">
        <f>5</f>
        <v>5</v>
      </c>
      <c r="C25" s="193" t="str">
        <f>'[1]🧾 Factura Comercial'!C8</f>
        <v>Pull Line Friction Car OPP Bag</v>
      </c>
      <c r="D25" s="194">
        <f>'[1]🧮 Costos x Producto'!F10</f>
        <v>2246.4</v>
      </c>
      <c r="E25" s="195">
        <f>IF('[1]🧾 Tributos Aduana'!C5=0,0,'[1]🧾 Tributos Aduana'!C16*('[1]🧾 Factura Comercial'!F8/'[1]🧾 Tributos Aduana'!C5))</f>
        <v>1.6115369895087578E-2</v>
      </c>
      <c r="F25" s="195">
        <f>IF('[1]🧾 Tributos Aduana'!C5=0,0,'[1]🧾 Tributos Aduana'!C17*('[1]🧾 Factura Comercial'!F8/'[1]🧾 Tributos Aduana'!C5))</f>
        <v>5.6888536179026524E-3</v>
      </c>
      <c r="G25" s="195">
        <f>IF('[1]🧾 Tributos Aduana'!C5=0,0,'[1]🧾 Tributos Aduana'!C18*('[1]🧾 Factura Comercial'!F8/'[1]🧾 Tributos Aduana'!C5))</f>
        <v>4.5565705344680088E-2</v>
      </c>
      <c r="H25" s="195">
        <f>IF('[1]🧾 Tributos Aduana'!C5=0,0,'[1]🧾 Tributos Aduana'!C22*('[1]🧾 Factura Comercial'!F8/'[1]🧾 Tributos Aduana'!C5))</f>
        <v>1.1761293282002793E-2</v>
      </c>
      <c r="I25" s="195">
        <f t="shared" si="0"/>
        <v>2246.4673699288578</v>
      </c>
      <c r="J25" s="196">
        <f>D25*'[1]📋 Datos Generales'!C19</f>
        <v>8356.6080000000002</v>
      </c>
      <c r="K25" s="196">
        <f>E25*'[1]📋 Datos Generales'!C19</f>
        <v>5.9949176009725789E-2</v>
      </c>
      <c r="L25" s="196">
        <f>F25*'[1]📋 Datos Generales'!C19</f>
        <v>2.1162535458597868E-2</v>
      </c>
      <c r="M25" s="196">
        <f>G25*'[1]📋 Datos Generales'!C19</f>
        <v>0.16950442388220993</v>
      </c>
      <c r="N25" s="197">
        <f t="shared" si="1"/>
        <v>2246.4673699288578</v>
      </c>
      <c r="O25" s="196">
        <f>N25*'[1]📋 Datos Generales'!C19</f>
        <v>8356.8586161353523</v>
      </c>
      <c r="P25" s="145"/>
      <c r="Q25" s="145"/>
      <c r="R25" s="145"/>
      <c r="S25" s="145"/>
      <c r="T25" s="145"/>
    </row>
    <row r="26" spans="1:20" ht="21.75" customHeight="1" thickTop="1" thickBot="1" x14ac:dyDescent="0.3">
      <c r="A26" s="145"/>
      <c r="B26" s="198">
        <f>6</f>
        <v>6</v>
      </c>
      <c r="C26" s="199" t="str">
        <f>'[1]🧾 Factura Comercial'!C9</f>
        <v>Friction Car OPP Bag</v>
      </c>
      <c r="D26" s="200">
        <f>'[1]🧮 Costos x Producto'!F11</f>
        <v>626.4</v>
      </c>
      <c r="E26" s="201">
        <f>IF('[1]🧾 Tributos Aduana'!C5=0,0,'[1]🧾 Tributos Aduana'!C16*('[1]🧾 Factura Comercial'!F9/'[1]🧾 Tributos Aduana'!C5))</f>
        <v>1.7974835652213066E-2</v>
      </c>
      <c r="F26" s="201">
        <f>IF('[1]🧾 Tributos Aduana'!C5=0,0,'[1]🧾 Tributos Aduana'!C17*('[1]🧾 Factura Comercial'!F9/'[1]🧾 Tributos Aduana'!C5))</f>
        <v>6.3452598045837276E-3</v>
      </c>
      <c r="G26" s="201">
        <f>IF('[1]🧾 Tributos Aduana'!C5=0,0,'[1]🧾 Tributos Aduana'!C18*('[1]🧾 Factura Comercial'!F9/'[1]🧾 Tributos Aduana'!C5))</f>
        <v>5.0823286730604711E-2</v>
      </c>
      <c r="H26" s="201">
        <f>IF('[1]🧾 Tributos Aduana'!C5=0,0,'[1]🧾 Tributos Aduana'!C22*('[1]🧾 Factura Comercial'!F9/'[1]🧾 Tributos Aduana'!C5))</f>
        <v>1.3118365583772345E-2</v>
      </c>
      <c r="I26" s="201">
        <f t="shared" si="0"/>
        <v>626.47514338218741</v>
      </c>
      <c r="J26" s="202">
        <f>D26*'[1]📋 Datos Generales'!C19</f>
        <v>2330.2080000000001</v>
      </c>
      <c r="K26" s="202">
        <f>E26*'[1]📋 Datos Generales'!C19</f>
        <v>6.6866388626232606E-2</v>
      </c>
      <c r="L26" s="202">
        <f>F26*'[1]📋 Datos Generales'!C19</f>
        <v>2.3604366473051468E-2</v>
      </c>
      <c r="M26" s="202">
        <f>G26*'[1]📋 Datos Generales'!C19</f>
        <v>0.18906262663784953</v>
      </c>
      <c r="N26" s="203">
        <f t="shared" si="1"/>
        <v>626.47514338218741</v>
      </c>
      <c r="O26" s="202">
        <f>N26*'[1]📋 Datos Generales'!C19</f>
        <v>2330.4875333817372</v>
      </c>
      <c r="P26" s="145"/>
      <c r="Q26" s="145"/>
      <c r="R26" s="145"/>
      <c r="S26" s="145"/>
      <c r="T26" s="145"/>
    </row>
    <row r="27" spans="1:20" ht="21.75" customHeight="1" thickTop="1" thickBot="1" x14ac:dyDescent="0.3">
      <c r="A27" s="145"/>
      <c r="B27" s="192">
        <f>7</f>
        <v>7</v>
      </c>
      <c r="C27" s="193" t="str">
        <f>'[1]🧾 Factura Comercial'!C10</f>
        <v>Free Wheel Ride on Digger Handle</v>
      </c>
      <c r="D27" s="194">
        <f>'[1]🧮 Costos x Producto'!F12</f>
        <v>1370.4</v>
      </c>
      <c r="E27" s="195">
        <f>IF('[1]🧾 Tributos Aduana'!C5=0,0,'[1]🧾 Tributos Aduana'!C16*('[1]🧾 Factura Comercial'!F10/'[1]🧾 Tributos Aduana'!C5))</f>
        <v>0.35391831577288485</v>
      </c>
      <c r="F27" s="195">
        <f>IF('[1]🧾 Tributos Aduana'!C5=0,0,'[1]🧾 Tributos Aduana'!C17*('[1]🧾 Factura Comercial'!F10/'[1]🧾 Tributos Aduana'!C5))</f>
        <v>0.12493597753163133</v>
      </c>
      <c r="G27" s="195">
        <f>IF('[1]🧾 Tributos Aduana'!C5=0,0,'[1]🧾 Tributos Aduana'!C18*('[1]🧾 Factura Comercial'!F10/'[1]🧾 Tributos Aduana'!C5))</f>
        <v>1.0006929904543203</v>
      </c>
      <c r="H27" s="195">
        <f>IF('[1]🧾 Tributos Aduana'!C5=0,0,'[1]🧾 Tributos Aduana'!C22*('[1]🧾 Factura Comercial'!F10/'[1]🧾 Tributos Aduana'!C5))</f>
        <v>0.25829609477013826</v>
      </c>
      <c r="I27" s="195">
        <f t="shared" si="0"/>
        <v>1371.8795472837589</v>
      </c>
      <c r="J27" s="196">
        <f>D27*'[1]📋 Datos Generales'!C19</f>
        <v>5097.8880000000008</v>
      </c>
      <c r="K27" s="196">
        <f>E27*'[1]📋 Datos Generales'!C19</f>
        <v>1.3165761346751317</v>
      </c>
      <c r="L27" s="196">
        <f>F27*'[1]📋 Datos Generales'!C19</f>
        <v>0.46476183641766855</v>
      </c>
      <c r="M27" s="196">
        <f>G27*'[1]📋 Datos Generales'!C19</f>
        <v>3.7225779244900714</v>
      </c>
      <c r="N27" s="197">
        <f t="shared" si="1"/>
        <v>1371.8795472837589</v>
      </c>
      <c r="O27" s="196">
        <f>N27*'[1]📋 Datos Generales'!C19</f>
        <v>5103.3919158955832</v>
      </c>
      <c r="P27" s="145"/>
      <c r="Q27" s="145"/>
      <c r="R27" s="145"/>
      <c r="S27" s="145"/>
      <c r="T27" s="145"/>
    </row>
    <row r="28" spans="1:20" ht="21.75" customHeight="1" thickTop="1" thickBot="1" x14ac:dyDescent="0.3">
      <c r="A28" s="145"/>
      <c r="B28" s="198">
        <f>8</f>
        <v>8</v>
      </c>
      <c r="C28" s="199" t="str">
        <f>'[1]🧾 Factura Comercial'!C11</f>
        <v>Friction Car with Music and Light</v>
      </c>
      <c r="D28" s="200">
        <f>'[1]🧮 Costos x Producto'!F13</f>
        <v>1459.2</v>
      </c>
      <c r="E28" s="201">
        <f>IF('[1]🧾 Tributos Aduana'!C5=0,0,'[1]🧾 Tributos Aduana'!C16*('[1]🧾 Factura Comercial'!F11/'[1]🧾 Tributos Aduana'!C5))</f>
        <v>4.710646584717907E-2</v>
      </c>
      <c r="F28" s="201">
        <f>IF('[1]🧾 Tributos Aduana'!C5=0,0,'[1]🧾 Tributos Aduana'!C17*('[1]🧾 Factura Comercial'!F11/'[1]🧾 Tributos Aduana'!C5))</f>
        <v>1.6628956729253904E-2</v>
      </c>
      <c r="G28" s="201">
        <f>IF('[1]🧾 Tributos Aduana'!C5=0,0,'[1]🧾 Tributos Aduana'!C18*('[1]🧾 Factura Comercial'!F11/'[1]🧾 Tributos Aduana'!C5))</f>
        <v>0.13319206177675716</v>
      </c>
      <c r="H28" s="201">
        <f>IF('[1]🧾 Tributos Aduana'!C5=0,0,'[1]🧾 Tributos Aduana'!C22*('[1]🧾 Factura Comercial'!F11/'[1]🧾 Tributos Aduana'!C5))</f>
        <v>3.4379164978162007E-2</v>
      </c>
      <c r="I28" s="201">
        <f t="shared" si="0"/>
        <v>1459.3969274843532</v>
      </c>
      <c r="J28" s="202">
        <f>D28*'[1]📋 Datos Generales'!C19</f>
        <v>5428.2240000000002</v>
      </c>
      <c r="K28" s="202">
        <f>E28*'[1]📋 Datos Generales'!C19</f>
        <v>0.17523605295150615</v>
      </c>
      <c r="L28" s="202">
        <f>F28*'[1]📋 Datos Generales'!C19</f>
        <v>6.1859719032824528E-2</v>
      </c>
      <c r="M28" s="202">
        <f>G28*'[1]📋 Datos Generales'!C19</f>
        <v>0.49547446980953663</v>
      </c>
      <c r="N28" s="203">
        <f t="shared" si="1"/>
        <v>1459.3969274843532</v>
      </c>
      <c r="O28" s="202">
        <f>N28*'[1]📋 Datos Generales'!C19</f>
        <v>5428.956570241794</v>
      </c>
      <c r="P28" s="145"/>
      <c r="Q28" s="145"/>
      <c r="R28" s="145"/>
      <c r="S28" s="145"/>
      <c r="T28" s="145"/>
    </row>
    <row r="29" spans="1:20" ht="21.75" customHeight="1" thickTop="1" thickBot="1" x14ac:dyDescent="0.3">
      <c r="A29" s="145"/>
      <c r="B29" s="192">
        <f>9</f>
        <v>9</v>
      </c>
      <c r="C29" s="193" t="str">
        <f>'[1]🧾 Factura Comercial'!C12</f>
        <v>Pull Line Function Car OPP Bag</v>
      </c>
      <c r="D29" s="194">
        <f>'[1]🧮 Costos x Producto'!F14</f>
        <v>1344</v>
      </c>
      <c r="E29" s="195">
        <f>IF('[1]🧾 Tributos Aduana'!C5=0,0,'[1]🧾 Tributos Aduana'!C16*('[1]🧾 Factura Comercial'!F12/'[1]🧾 Tributos Aduana'!C5))</f>
        <v>1.7355013733171238E-2</v>
      </c>
      <c r="F29" s="195">
        <f>IF('[1]🧾 Tributos Aduana'!C5=0,0,'[1]🧾 Tributos Aduana'!C17*('[1]🧾 Factura Comercial'!F12/'[1]🧾 Tributos Aduana'!C5))</f>
        <v>6.1264577423567031E-3</v>
      </c>
      <c r="G29" s="195">
        <f>IF('[1]🧾 Tributos Aduana'!C5=0,0,'[1]🧾 Tributos Aduana'!C18*('[1]🧾 Factura Comercial'!F12/'[1]🧾 Tributos Aduana'!C5))</f>
        <v>4.9070759601963172E-2</v>
      </c>
      <c r="H29" s="195">
        <f>IF('[1]🧾 Tributos Aduana'!C5=0,0,'[1]🧾 Tributos Aduana'!C22*('[1]🧾 Factura Comercial'!F12/'[1]🧾 Tributos Aduana'!C5))</f>
        <v>1.2666008149849162E-2</v>
      </c>
      <c r="I29" s="195">
        <f t="shared" si="0"/>
        <v>1344.0725522310775</v>
      </c>
      <c r="J29" s="196">
        <f>D29*'[1]📋 Datos Generales'!C19</f>
        <v>4999.68</v>
      </c>
      <c r="K29" s="196">
        <f>E29*'[1]📋 Datos Generales'!C19</f>
        <v>6.4560651087397003E-2</v>
      </c>
      <c r="L29" s="196">
        <f>F29*'[1]📋 Datos Generales'!C19</f>
        <v>2.2790422801566936E-2</v>
      </c>
      <c r="M29" s="196">
        <f>G29*'[1]📋 Datos Generales'!C19</f>
        <v>0.18254322571930301</v>
      </c>
      <c r="N29" s="197">
        <f t="shared" si="1"/>
        <v>1344.0725522310775</v>
      </c>
      <c r="O29" s="196">
        <f>N29*'[1]📋 Datos Generales'!C19</f>
        <v>4999.9498942996088</v>
      </c>
      <c r="P29" s="145"/>
      <c r="Q29" s="145"/>
      <c r="R29" s="145"/>
      <c r="S29" s="145"/>
      <c r="T29" s="145"/>
    </row>
    <row r="30" spans="1:20" ht="21.75" customHeight="1" thickTop="1" thickBot="1" x14ac:dyDescent="0.3">
      <c r="A30" s="145"/>
      <c r="B30" s="185"/>
      <c r="C30" s="503" t="s">
        <v>363</v>
      </c>
      <c r="D30" s="503"/>
      <c r="E30" s="188">
        <f>'[1]🧾 Tributos Aduana'!C16</f>
        <v>881</v>
      </c>
      <c r="F30" s="188">
        <f>'[1]🧾 Tributos Aduana'!C17</f>
        <v>311</v>
      </c>
      <c r="G30" s="188">
        <f>'[1]🧾 Tributos Aduana'!C18</f>
        <v>2491</v>
      </c>
      <c r="H30" s="188">
        <f>'[1]🧾 Tributos Aduana'!C22</f>
        <v>642.97</v>
      </c>
      <c r="I30" s="188">
        <f>'[1]🧾 Tributos Aduana'!C19+'[1]🧾 Tributos Aduana'!C22</f>
        <v>4325.97</v>
      </c>
      <c r="J30" s="191"/>
      <c r="K30" s="191"/>
      <c r="L30" s="191"/>
      <c r="M30" s="191"/>
      <c r="N30" s="188">
        <f>'[1]🧾 Tributos Aduana'!C19</f>
        <v>3683</v>
      </c>
      <c r="O30" s="190">
        <f>'[1]🧾 Tributos Aduana'!C19*'[1]📋 Datos Generales'!C19</f>
        <v>13700.76</v>
      </c>
      <c r="P30" s="145"/>
      <c r="Q30" s="145"/>
      <c r="R30" s="145"/>
      <c r="S30" s="145"/>
      <c r="T30" s="145"/>
    </row>
    <row r="31" spans="1:20" ht="7.5" customHeight="1" thickTop="1" x14ac:dyDescent="0.25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</row>
    <row r="32" spans="1:20" ht="21.75" customHeight="1" x14ac:dyDescent="0.25">
      <c r="A32" s="145"/>
      <c r="B32" s="510" t="s">
        <v>376</v>
      </c>
      <c r="C32" s="510"/>
      <c r="D32" s="510"/>
      <c r="E32" s="510"/>
      <c r="F32" s="510"/>
      <c r="G32" s="510"/>
      <c r="H32" s="510"/>
      <c r="I32" s="510"/>
      <c r="J32" s="510"/>
      <c r="K32" s="510"/>
      <c r="L32" s="510"/>
      <c r="M32" s="510"/>
      <c r="N32" s="510"/>
      <c r="O32" s="510"/>
      <c r="P32" s="510"/>
      <c r="Q32" s="510"/>
      <c r="R32" s="510"/>
      <c r="S32" s="510"/>
      <c r="T32" s="145"/>
    </row>
    <row r="33" spans="1:20" ht="42" customHeight="1" thickBot="1" x14ac:dyDescent="0.3">
      <c r="A33" s="145"/>
      <c r="B33" s="204" t="s">
        <v>133</v>
      </c>
      <c r="C33" s="204" t="s">
        <v>251</v>
      </c>
      <c r="D33" s="204" t="s">
        <v>377</v>
      </c>
      <c r="E33" s="204" t="s">
        <v>378</v>
      </c>
      <c r="F33" s="204" t="s">
        <v>379</v>
      </c>
      <c r="G33" s="204" t="s">
        <v>380</v>
      </c>
      <c r="H33" s="204" t="s">
        <v>381</v>
      </c>
      <c r="I33" s="204" t="s">
        <v>382</v>
      </c>
      <c r="J33" s="204" t="s">
        <v>383</v>
      </c>
      <c r="K33" s="204" t="s">
        <v>257</v>
      </c>
      <c r="L33" s="204" t="s">
        <v>384</v>
      </c>
      <c r="M33" s="204" t="s">
        <v>385</v>
      </c>
      <c r="N33" s="204" t="s">
        <v>386</v>
      </c>
      <c r="O33" s="204" t="s">
        <v>261</v>
      </c>
      <c r="P33" s="204" t="s">
        <v>387</v>
      </c>
      <c r="Q33" s="204" t="s">
        <v>388</v>
      </c>
      <c r="R33" s="204" t="s">
        <v>389</v>
      </c>
      <c r="S33" s="204" t="s">
        <v>390</v>
      </c>
      <c r="T33" s="145"/>
    </row>
    <row r="34" spans="1:20" ht="21.75" customHeight="1" thickBot="1" x14ac:dyDescent="0.3">
      <c r="A34" s="145"/>
      <c r="B34" s="237">
        <f>1</f>
        <v>1</v>
      </c>
      <c r="C34" s="238" t="str">
        <f>'[1]🧾 Factura Comercial'!C4</f>
        <v>Friction Car Platform Cover</v>
      </c>
      <c r="D34" s="239">
        <f>IF('[1]🧾 Factura Comercial'!E4=0,0,'[1]📦 Gastos Importación'!C27*(IF('[1]🧾 Tributos Aduana'!C5=0,0,'[1]🧾 Factura Comercial'!F4/'[1]🧾 Tributos Aduana'!C5))/'[1]🧾 Factura Comercial'!E4)</f>
        <v>2.8601924806444115E-3</v>
      </c>
      <c r="E34" s="240">
        <f>D34*'[1]📋 Datos Generales'!C19</f>
        <v>1.0639916027997211E-2</v>
      </c>
      <c r="F34" s="241">
        <f>'[1]🧮 Costos x Producto'!H6</f>
        <v>2.6982247049412198</v>
      </c>
      <c r="G34" s="242">
        <f>'[1]🧮 Costos x Producto'!I6</f>
        <v>10.0373959023813</v>
      </c>
      <c r="H34" s="239">
        <f>IF('[1]🧾 Factura Comercial'!E4=0,0,'[1]🧾 Tributos Aduana'!C16*(IF('[1]🧾 Tributos Aduana'!C5=0,0,'[1]🧾 Factura Comercial'!F4/'[1]🧾 Tributos Aduana'!C5))/'[1]🧾 Factura Comercial'!E4)</f>
        <v>1.5624677542512794E-4</v>
      </c>
      <c r="I34" s="239">
        <f>IF('[1]🧾 Factura Comercial'!E4=0,0,'[1]🏦 Crédito Fiscal'!C10*(IF('[1]🧾 Tributos Aduana'!C5=0,0,'[1]🧾 Factura Comercial'!F4/'[1]🧾 Tributos Aduana'!C5))/'[1]🧾 Factura Comercial'!E4)</f>
        <v>1.1246038645070298E-3</v>
      </c>
      <c r="J34" s="240">
        <f>I34*'[1]📋 Datos Generales'!C19</f>
        <v>4.1835263759661514E-3</v>
      </c>
      <c r="K34" s="243">
        <f>'[1]💰 Precio de Venta'!E5</f>
        <v>0.4</v>
      </c>
      <c r="L34" s="242">
        <f>'[1]💰 Precio de Venta'!F5</f>
        <v>16.728993170635501</v>
      </c>
      <c r="M34" s="242">
        <f>'[1]💰 Precio de Venta'!G5</f>
        <v>19.740211941349902</v>
      </c>
      <c r="N34" s="242">
        <f>'[1]💰 Precio de Venta'!H5</f>
        <v>6.6915972682542204</v>
      </c>
      <c r="O34" s="244">
        <f>'[1]💰 Precio de Venta'!I5</f>
        <v>66</v>
      </c>
      <c r="P34" s="245">
        <f>N34*'[1]🧾 Factura Comercial'!E4</f>
        <v>3211.966688762026</v>
      </c>
      <c r="Q34" s="243">
        <f t="shared" ref="Q34:Q42" si="2">IF(M34=0,0,N34/M34)</f>
        <v>0.33898305084745844</v>
      </c>
      <c r="R34" s="243">
        <f t="shared" ref="R34:R42" si="3">IF(G34=0,0,N34/G34)</f>
        <v>0.66666666666666863</v>
      </c>
      <c r="S34" s="246" t="str">
        <f t="shared" ref="S34:S42" si="4">IF(K34&gt;=0.5,"🟢 ALTO",IF(K34&gt;=0.3,"🟡 MEDIO","🔴 BAJO"))</f>
        <v>🟡 MEDIO</v>
      </c>
      <c r="T34" s="145"/>
    </row>
    <row r="35" spans="1:20" ht="21.75" customHeight="1" thickBot="1" x14ac:dyDescent="0.3">
      <c r="A35" s="145"/>
      <c r="B35" s="237">
        <f>2</f>
        <v>2</v>
      </c>
      <c r="C35" s="238" t="str">
        <f>'[1]🧾 Factura Comercial'!C5</f>
        <v>Friction Cars OPP Bag 23cm</v>
      </c>
      <c r="D35" s="239">
        <f>IF('[1]🧾 Factura Comercial'!E5=0,0,'[1]📦 Gastos Importación'!C27*(IF('[1]🧾 Tributos Aduana'!C5=0,0,'[1]🧾 Factura Comercial'!F5/'[1]🧾 Tributos Aduana'!C5))/'[1]🧾 Factura Comercial'!E5)</f>
        <v>2.678968163688981E-4</v>
      </c>
      <c r="E35" s="240">
        <f>D35*'[1]📋 Datos Generales'!C19</f>
        <v>9.965761568923009E-4</v>
      </c>
      <c r="F35" s="241">
        <f>'[1]🧮 Costos x Producto'!H7</f>
        <v>1.5163576854215099</v>
      </c>
      <c r="G35" s="242">
        <f>'[1]🧮 Costos x Producto'!I7</f>
        <v>5.6408505897680197</v>
      </c>
      <c r="H35" s="239">
        <f>IF('[1]🧾 Factura Comercial'!E5=0,0,'[1]🧾 Tributos Aduana'!C16*(IF('[1]🧾 Tributos Aduana'!C5=0,0,'[1]🧾 Factura Comercial'!F5/'[1]🧾 Tributos Aduana'!C5))/'[1]🧾 Factura Comercial'!E5)</f>
        <v>1.4634684199598761E-5</v>
      </c>
      <c r="I35" s="239">
        <f>IF('[1]🧾 Factura Comercial'!E5=0,0,'[1]🏦 Crédito Fiscal'!C10*(IF('[1]🧾 Tributos Aduana'!C5=0,0,'[1]🧾 Factura Comercial'!F5/'[1]🧾 Tributos Aduana'!C5))/'[1]🧾 Factura Comercial'!E5)</f>
        <v>1.0533479722655375E-4</v>
      </c>
      <c r="J35" s="240">
        <f>I35*'[1]📋 Datos Generales'!C19</f>
        <v>3.9184544568278E-4</v>
      </c>
      <c r="K35" s="243">
        <f>'[1]💰 Precio de Venta'!E6</f>
        <v>0.4</v>
      </c>
      <c r="L35" s="242">
        <f>'[1]💰 Precio de Venta'!F6</f>
        <v>9.4014176496133608</v>
      </c>
      <c r="M35" s="242">
        <f>'[1]💰 Precio de Venta'!G6</f>
        <v>11.0936728265438</v>
      </c>
      <c r="N35" s="242">
        <f>'[1]💰 Precio de Venta'!H6</f>
        <v>3.76056705984535</v>
      </c>
      <c r="O35" s="244">
        <f>'[1]💰 Precio de Venta'!I6</f>
        <v>394</v>
      </c>
      <c r="P35" s="245">
        <f>N35*'[1]🧾 Factura Comercial'!E5</f>
        <v>10830.433132354608</v>
      </c>
      <c r="Q35" s="243">
        <f t="shared" si="2"/>
        <v>0.33898305084745706</v>
      </c>
      <c r="R35" s="243">
        <f t="shared" si="3"/>
        <v>0.6666666666666673</v>
      </c>
      <c r="S35" s="246" t="str">
        <f t="shared" si="4"/>
        <v>🟡 MEDIO</v>
      </c>
      <c r="T35" s="145"/>
    </row>
    <row r="36" spans="1:20" ht="21.75" customHeight="1" thickBot="1" x14ac:dyDescent="0.3">
      <c r="B36" s="237">
        <f>3</f>
        <v>3</v>
      </c>
      <c r="C36" s="238" t="str">
        <f>'[1]🧾 Factura Comercial'!C6</f>
        <v>Free Wheel Motor OPP Bag 21cm</v>
      </c>
      <c r="D36" s="239">
        <f>IF('[1]🧾 Factura Comercial'!E6=0,0,'[1]📦 Gastos Importación'!C27*(IF('[1]🧾 Tributos Aduana'!C5=0,0,'[1]🧾 Factura Comercial'!F6/'[1]🧾 Tributos Aduana'!C5))/'[1]🧾 Factura Comercial'!E6)</f>
        <v>1.5758636256994009E-4</v>
      </c>
      <c r="E36" s="240">
        <f>D36*'[1]📋 Datos Generales'!C19</f>
        <v>5.8622126876017714E-4</v>
      </c>
      <c r="F36" s="241">
        <f>'[1]🧮 Costos x Producto'!H8</f>
        <v>0.89197510907147604</v>
      </c>
      <c r="G36" s="242">
        <f>'[1]🧮 Costos x Producto'!I8</f>
        <v>3.31814740574589</v>
      </c>
      <c r="H36" s="239">
        <f>IF('[1]🧾 Factura Comercial'!E6=0,0,'[1]🧾 Tributos Aduana'!C16*(IF('[1]🧾 Tributos Aduana'!C5=0,0,'[1]🧾 Factura Comercial'!F6/'[1]🧾 Tributos Aduana'!C5))/'[1]🧾 Factura Comercial'!E6)</f>
        <v>8.6086377644698613E-6</v>
      </c>
      <c r="I36" s="239">
        <f>IF('[1]🧾 Factura Comercial'!E6=0,0,'[1]🏦 Crédito Fiscal'!C10*(IF('[1]🧾 Tributos Aduana'!C5=0,0,'[1]🧾 Factura Comercial'!F6/'[1]🧾 Tributos Aduana'!C5))/'[1]🧾 Factura Comercial'!E6)</f>
        <v>6.1961645427384564E-5</v>
      </c>
      <c r="J36" s="240">
        <f>I36*'[1]📋 Datos Generales'!C19</f>
        <v>2.3049732098987059E-4</v>
      </c>
      <c r="K36" s="243">
        <f>'[1]💰 Precio de Venta'!E7</f>
        <v>0.4</v>
      </c>
      <c r="L36" s="242">
        <f>'[1]💰 Precio de Venta'!F7</f>
        <v>5.5302456762431502</v>
      </c>
      <c r="M36" s="242">
        <f>'[1]💰 Precio de Venta'!G7</f>
        <v>6.5256898979669202</v>
      </c>
      <c r="N36" s="242">
        <f>'[1]💰 Precio de Venta'!H7</f>
        <v>2.2120982704972598</v>
      </c>
      <c r="O36" s="244">
        <f>'[1]💰 Precio de Venta'!I7</f>
        <v>394</v>
      </c>
      <c r="P36" s="245">
        <f>N36*'[1]🧾 Factura Comercial'!E6</f>
        <v>6370.8430190321087</v>
      </c>
      <c r="Q36" s="243">
        <f t="shared" si="2"/>
        <v>0.33898305084745745</v>
      </c>
      <c r="R36" s="243">
        <f t="shared" si="3"/>
        <v>0.66666666666666663</v>
      </c>
      <c r="S36" s="246" t="str">
        <f t="shared" si="4"/>
        <v>🟡 MEDIO</v>
      </c>
    </row>
    <row r="37" spans="1:20" ht="21.75" customHeight="1" thickBot="1" x14ac:dyDescent="0.3">
      <c r="B37" s="237">
        <f>4</f>
        <v>4</v>
      </c>
      <c r="C37" s="238" t="str">
        <f>'[1]🧾 Factura Comercial'!C7</f>
        <v>Friction Cars OPP Bag 22cm</v>
      </c>
      <c r="D37" s="239">
        <f>IF('[1]🧾 Factura Comercial'!E7=0,0,'[1]📦 Gastos Importación'!C27*(IF('[1]🧾 Tributos Aduana'!C5=0,0,'[1]🧾 Factura Comercial'!F7/'[1]🧾 Tributos Aduana'!C5))/'[1]🧾 Factura Comercial'!E7)</f>
        <v>3.7731945967450438E-5</v>
      </c>
      <c r="E37" s="240">
        <f>D37*'[1]📋 Datos Generales'!C19</f>
        <v>1.4036283899891564E-4</v>
      </c>
      <c r="F37" s="241">
        <f>'[1]🧮 Costos x Producto'!H9</f>
        <v>0.75817884271075497</v>
      </c>
      <c r="G37" s="242">
        <f>'[1]🧮 Costos x Producto'!I9</f>
        <v>2.8204252948840098</v>
      </c>
      <c r="H37" s="239">
        <f>IF('[1]🧾 Factura Comercial'!E7=0,0,'[1]🧾 Tributos Aduana'!C16*(IF('[1]🧾 Tributos Aduana'!C5=0,0,'[1]🧾 Factura Comercial'!F7/'[1]🧾 Tributos Aduana'!C5))/'[1]🧾 Factura Comercial'!E7)</f>
        <v>2.0612231267040509E-6</v>
      </c>
      <c r="I37" s="239">
        <f>IF('[1]🧾 Factura Comercial'!E7=0,0,'[1]🏦 Crédito Fiscal'!C10*(IF('[1]🧾 Tributos Aduana'!C5=0,0,'[1]🧾 Factura Comercial'!F7/'[1]🧾 Tributos Aduana'!C5))/'[1]🧾 Factura Comercial'!E7)</f>
        <v>1.483588693331743E-5</v>
      </c>
      <c r="J37" s="240">
        <f>I37*'[1]📋 Datos Generales'!C19</f>
        <v>5.5189499391940842E-5</v>
      </c>
      <c r="K37" s="243">
        <f>'[1]💰 Precio de Venta'!E8</f>
        <v>0.4</v>
      </c>
      <c r="L37" s="242">
        <f>'[1]💰 Precio de Venta'!F8</f>
        <v>4.7007088248066804</v>
      </c>
      <c r="M37" s="242">
        <f>'[1]💰 Precio de Venta'!G8</f>
        <v>5.5468364132718797</v>
      </c>
      <c r="N37" s="242">
        <f>'[1]💰 Precio de Venta'!H8</f>
        <v>1.8802835299226699</v>
      </c>
      <c r="O37" s="244">
        <f>'[1]💰 Precio de Venta'!I8</f>
        <v>1398</v>
      </c>
      <c r="P37" s="245">
        <f>N37*'[1]🧾 Factura Comercial'!E7</f>
        <v>19224.018809929377</v>
      </c>
      <c r="Q37" s="243">
        <f t="shared" si="2"/>
        <v>0.33898305084745739</v>
      </c>
      <c r="R37" s="243">
        <f t="shared" si="3"/>
        <v>0.66666666666666552</v>
      </c>
      <c r="S37" s="246" t="str">
        <f t="shared" si="4"/>
        <v>🟡 MEDIO</v>
      </c>
    </row>
    <row r="38" spans="1:20" ht="21.75" customHeight="1" thickBot="1" x14ac:dyDescent="0.3">
      <c r="B38" s="237">
        <f>5</f>
        <v>5</v>
      </c>
      <c r="C38" s="238" t="str">
        <f>'[1]🧾 Factura Comercial'!C8</f>
        <v>Pull Line Friction Car OPP Bag</v>
      </c>
      <c r="D38" s="239">
        <f>IF('[1]🧾 Factura Comercial'!E8=0,0,'[1]📦 Gastos Importación'!C27*(IF('[1]🧾 Tributos Aduana'!C5=0,0,'[1]🧾 Factura Comercial'!F8/'[1]🧾 Tributos Aduana'!C5))/'[1]🧾 Factura Comercial'!E8)</f>
        <v>3.414371189015368E-5</v>
      </c>
      <c r="E38" s="240">
        <f>D38*'[1]📋 Datos Generales'!C19</f>
        <v>1.2701460823137171E-4</v>
      </c>
      <c r="F38" s="241">
        <f>'[1]🧮 Costos x Producto'!H10</f>
        <v>0.57978382089645997</v>
      </c>
      <c r="G38" s="242">
        <f>'[1]🧮 Costos x Producto'!I10</f>
        <v>2.15679581373483</v>
      </c>
      <c r="H38" s="239">
        <f>IF('[1]🧾 Factura Comercial'!E8=0,0,'[1]🧾 Tributos Aduana'!C16*(IF('[1]🧾 Tributos Aduana'!C5=0,0,'[1]🧾 Factura Comercial'!F8/'[1]🧾 Tributos Aduana'!C5))/'[1]🧾 Factura Comercial'!E8)</f>
        <v>1.8652048489684697E-6</v>
      </c>
      <c r="I38" s="239">
        <f>IF('[1]🧾 Factura Comercial'!E8=0,0,'[1]🏦 Crédito Fiscal'!C10*(IF('[1]🧾 Tributos Aduana'!C5=0,0,'[1]🧾 Factura Comercial'!F8/'[1]🧾 Tributos Aduana'!C5))/'[1]🧾 Factura Comercial'!E8)</f>
        <v>1.3425023175933325E-5</v>
      </c>
      <c r="J38" s="240">
        <f>I38*'[1]📋 Datos Generales'!C19</f>
        <v>4.9941086214471971E-5</v>
      </c>
      <c r="K38" s="243">
        <f>'[1]💰 Precio de Venta'!E9</f>
        <v>0.4</v>
      </c>
      <c r="L38" s="242">
        <f>'[1]💰 Precio de Venta'!F9</f>
        <v>3.5946596895580498</v>
      </c>
      <c r="M38" s="242">
        <f>'[1]💰 Precio de Venta'!G9</f>
        <v>4.2416984336784997</v>
      </c>
      <c r="N38" s="242">
        <f>'[1]💰 Precio de Venta'!H9</f>
        <v>1.4378638758232201</v>
      </c>
      <c r="O38" s="244">
        <f>'[1]💰 Precio de Venta'!I9</f>
        <v>1181</v>
      </c>
      <c r="P38" s="245">
        <f>N38*'[1]🧾 Factura Comercial'!E8</f>
        <v>12423.143887112621</v>
      </c>
      <c r="Q38" s="243">
        <f t="shared" si="2"/>
        <v>0.33898305084745756</v>
      </c>
      <c r="R38" s="243">
        <f t="shared" si="3"/>
        <v>0.66666666666666674</v>
      </c>
      <c r="S38" s="246" t="str">
        <f t="shared" si="4"/>
        <v>🟡 MEDIO</v>
      </c>
    </row>
    <row r="39" spans="1:20" ht="21.75" customHeight="1" thickBot="1" x14ac:dyDescent="0.3">
      <c r="B39" s="237">
        <f>6</f>
        <v>6</v>
      </c>
      <c r="C39" s="238" t="str">
        <f>'[1]🧾 Factura Comercial'!C9</f>
        <v>Friction Car OPP Bag</v>
      </c>
      <c r="D39" s="239">
        <f>IF('[1]🧾 Factura Comercial'!E9=0,0,'[1]📦 Gastos Importación'!C27*(IF('[1]🧾 Tributos Aduana'!C5=0,0,'[1]🧾 Factura Comercial'!F9/'[1]🧾 Tributos Aduana'!C5))/'[1]🧾 Factura Comercial'!E9)</f>
        <v>1.5233348381760872E-4</v>
      </c>
      <c r="E39" s="240">
        <f>D39*'[1]📋 Datos Generales'!C19</f>
        <v>5.6668055980150448E-4</v>
      </c>
      <c r="F39" s="241">
        <f>'[1]🧮 Costos x Producto'!H11</f>
        <v>0.64668195407682005</v>
      </c>
      <c r="G39" s="242">
        <f>'[1]🧮 Costos x Producto'!I11</f>
        <v>2.40565686916577</v>
      </c>
      <c r="H39" s="239">
        <f>IF('[1]🧾 Factura Comercial'!E9=0,0,'[1]🧾 Tributos Aduana'!C16*(IF('[1]🧾 Tributos Aduana'!C5=0,0,'[1]🧾 Factura Comercial'!F9/'[1]🧾 Tributos Aduana'!C5))/'[1]🧾 Factura Comercial'!E9)</f>
        <v>8.3216831723208644E-6</v>
      </c>
      <c r="I39" s="239">
        <f>IF('[1]🧾 Factura Comercial'!E9=0,0,'[1]🏦 Crédito Fiscal'!C10*(IF('[1]🧾 Tributos Aduana'!C5=0,0,'[1]🧾 Factura Comercial'!F9/'[1]🧾 Tributos Aduana'!C5))/'[1]🧾 Factura Comercial'!E9)</f>
        <v>5.9896257246471741E-5</v>
      </c>
      <c r="J39" s="240">
        <f>I39*'[1]📋 Datos Generales'!C19</f>
        <v>2.228140769568749E-4</v>
      </c>
      <c r="K39" s="243">
        <f>'[1]💰 Precio de Venta'!E10</f>
        <v>0.4</v>
      </c>
      <c r="L39" s="242">
        <f>'[1]💰 Precio de Venta'!F10</f>
        <v>4.0094281152762896</v>
      </c>
      <c r="M39" s="242">
        <f>'[1]💰 Precio de Venta'!G10</f>
        <v>4.73112517602602</v>
      </c>
      <c r="N39" s="242">
        <f>'[1]💰 Precio de Venta'!H10</f>
        <v>1.60377124611051</v>
      </c>
      <c r="O39" s="244">
        <f>'[1]💰 Precio de Venta'!I10</f>
        <v>296</v>
      </c>
      <c r="P39" s="245">
        <f>N39*'[1]🧾 Factura Comercial'!E9</f>
        <v>3464.1458915987018</v>
      </c>
      <c r="Q39" s="243">
        <f t="shared" si="2"/>
        <v>0.3389830508474565</v>
      </c>
      <c r="R39" s="243">
        <f t="shared" si="3"/>
        <v>0.6666666666666653</v>
      </c>
      <c r="S39" s="246" t="str">
        <f t="shared" si="4"/>
        <v>🟡 MEDIO</v>
      </c>
    </row>
    <row r="40" spans="1:20" ht="21.75" customHeight="1" thickBot="1" x14ac:dyDescent="0.3">
      <c r="B40" s="237">
        <f>7</f>
        <v>7</v>
      </c>
      <c r="C40" s="238" t="str">
        <f>'[1]🧾 Factura Comercial'!C10</f>
        <v>Free Wheel Ride on Digger Handle</v>
      </c>
      <c r="D40" s="239">
        <f>IF('[1]🧾 Factura Comercial'!E10=0,0,'[1]📦 Gastos Importación'!C27*(IF('[1]🧾 Tributos Aduana'!C5=0,0,'[1]🧾 Factura Comercial'!F10/'[1]🧾 Tributos Aduana'!C5))/'[1]🧾 Factura Comercial'!E10)</f>
        <v>2.6994543908230733E-2</v>
      </c>
      <c r="E40" s="240">
        <f>D40*'[1]📋 Datos Generales'!C19</f>
        <v>0.10041970333861833</v>
      </c>
      <c r="F40" s="241">
        <f>'[1]🧮 Costos x Producto'!H12</f>
        <v>12.732944681995299</v>
      </c>
      <c r="G40" s="242">
        <f>'[1]🧮 Costos x Producto'!I12</f>
        <v>47.366554217022603</v>
      </c>
      <c r="H40" s="239">
        <f>IF('[1]🧾 Factura Comercial'!E10=0,0,'[1]🧾 Tributos Aduana'!C16*(IF('[1]🧾 Tributos Aduana'!C5=0,0,'[1]🧾 Factura Comercial'!F10/'[1]🧾 Tributos Aduana'!C5))/'[1]🧾 Factura Comercial'!E10)</f>
        <v>1.4746596490536868E-3</v>
      </c>
      <c r="I40" s="239">
        <f>IF('[1]🧾 Factura Comercial'!E10=0,0,'[1]🏦 Crédito Fiscal'!C10*(IF('[1]🧾 Tributos Aduana'!C5=0,0,'[1]🧾 Factura Comercial'!F10/'[1]🧾 Tributos Aduana'!C5))/'[1]🧾 Factura Comercial'!E10)</f>
        <v>1.0614029861710976E-2</v>
      </c>
      <c r="J40" s="240">
        <f>I40*'[1]📋 Datos Generales'!C19</f>
        <v>3.9484191085564835E-2</v>
      </c>
      <c r="K40" s="243">
        <f>'[1]💰 Precio de Venta'!E11</f>
        <v>0.4</v>
      </c>
      <c r="L40" s="242">
        <f>'[1]💰 Precio de Venta'!F11</f>
        <v>78.944257028370998</v>
      </c>
      <c r="M40" s="242">
        <f>'[1]💰 Precio de Venta'!G11</f>
        <v>93.154223293477799</v>
      </c>
      <c r="N40" s="242">
        <f>'[1]💰 Precio de Venta'!H11</f>
        <v>31.577702811348399</v>
      </c>
      <c r="O40" s="244">
        <f>'[1]💰 Precio de Venta'!I11</f>
        <v>33</v>
      </c>
      <c r="P40" s="245">
        <f>N40*'[1]🧾 Factura Comercial'!E10</f>
        <v>7578.6486747236158</v>
      </c>
      <c r="Q40" s="243">
        <f t="shared" si="2"/>
        <v>0.33898305084745756</v>
      </c>
      <c r="R40" s="243">
        <f t="shared" si="3"/>
        <v>0.66666666666666663</v>
      </c>
      <c r="S40" s="246" t="str">
        <f t="shared" si="4"/>
        <v>🟡 MEDIO</v>
      </c>
    </row>
    <row r="41" spans="1:20" ht="21.75" customHeight="1" thickBot="1" x14ac:dyDescent="0.3">
      <c r="B41" s="237">
        <f>8</f>
        <v>8</v>
      </c>
      <c r="C41" s="238" t="str">
        <f>'[1]🧾 Factura Comercial'!C11</f>
        <v>Friction Car with Music and Light</v>
      </c>
      <c r="D41" s="239">
        <f>IF('[1]🧾 Factura Comercial'!E11=0,0,'[1]📦 Gastos Importación'!C27*(IF('[1]🧾 Tributos Aduana'!C5=0,0,'[1]🧾 Factura Comercial'!F11/'[1]🧾 Tributos Aduana'!C5))/'[1]🧾 Factura Comercial'!E11)</f>
        <v>4.4912113332432914E-4</v>
      </c>
      <c r="E41" s="240">
        <f>D41*'[1]📋 Datos Generales'!C19</f>
        <v>1.6707306159665044E-3</v>
      </c>
      <c r="F41" s="241">
        <f>'[1]🧮 Costos x Producto'!H13</f>
        <v>1.69475270723581</v>
      </c>
      <c r="G41" s="242">
        <f>'[1]🧮 Costos x Producto'!I13</f>
        <v>6.3044800709172</v>
      </c>
      <c r="H41" s="239">
        <f>IF('[1]🧾 Factura Comercial'!E11=0,0,'[1]🧾 Tributos Aduana'!C16*(IF('[1]🧾 Tributos Aduana'!C5=0,0,'[1]🧾 Factura Comercial'!F11/'[1]🧾 Tributos Aduana'!C5))/'[1]🧾 Factura Comercial'!E11)</f>
        <v>2.4534617628739099E-5</v>
      </c>
      <c r="I41" s="239">
        <f>IF('[1]🧾 Factura Comercial'!E11=0,0,'[1]🏦 Crédito Fiscal'!C10*(IF('[1]🧾 Tributos Aduana'!C5=0,0,'[1]🧾 Factura Comercial'!F11/'[1]🧾 Tributos Aduana'!C5))/'[1]🧾 Factura Comercial'!E11)</f>
        <v>1.7659068946804601E-4</v>
      </c>
      <c r="J41" s="240">
        <f>I41*'[1]📋 Datos Generales'!C19</f>
        <v>6.5691736482113123E-4</v>
      </c>
      <c r="K41" s="243">
        <f>'[1]💰 Precio de Venta'!E12</f>
        <v>0.4</v>
      </c>
      <c r="L41" s="242">
        <f>'[1]💰 Precio de Venta'!F12</f>
        <v>10.507466784862</v>
      </c>
      <c r="M41" s="242">
        <f>'[1]💰 Precio de Venta'!G12</f>
        <v>12.398810806137201</v>
      </c>
      <c r="N41" s="242">
        <f>'[1]💰 Precio de Venta'!H12</f>
        <v>4.2029867139448003</v>
      </c>
      <c r="O41" s="244">
        <f>'[1]💰 Precio de Venta'!I12</f>
        <v>263</v>
      </c>
      <c r="P41" s="245">
        <f>N41*'[1]🧾 Factura Comercial'!E11</f>
        <v>8069.7344907740162</v>
      </c>
      <c r="Q41" s="243">
        <f t="shared" si="2"/>
        <v>0.33898305084745656</v>
      </c>
      <c r="R41" s="243">
        <f t="shared" si="3"/>
        <v>0.66666666666666674</v>
      </c>
      <c r="S41" s="246" t="str">
        <f t="shared" si="4"/>
        <v>🟡 MEDIO</v>
      </c>
    </row>
    <row r="42" spans="1:20" ht="21.75" customHeight="1" thickBot="1" x14ac:dyDescent="0.3">
      <c r="B42" s="237">
        <f>9</f>
        <v>9</v>
      </c>
      <c r="C42" s="238" t="str">
        <f>'[1]🧾 Factura Comercial'!C12</f>
        <v>Pull Line Function Car OPP Bag</v>
      </c>
      <c r="D42" s="239">
        <f>IF('[1]🧾 Factura Comercial'!E12=0,0,'[1]📦 Gastos Importación'!C27*(IF('[1]🧾 Tributos Aduana'!C5=0,0,'[1]🧾 Factura Comercial'!F12/'[1]🧾 Tributos Aduana'!C5))/'[1]🧾 Factura Comercial'!E12)</f>
        <v>6.6186272279374821E-5</v>
      </c>
      <c r="E42" s="240">
        <f>D42*'[1]📋 Datos Generales'!C19</f>
        <v>2.4621293287927436E-4</v>
      </c>
      <c r="F42" s="241">
        <f>'[1]🧮 Costos x Producto'!H14</f>
        <v>0.62438257635003402</v>
      </c>
      <c r="G42" s="242">
        <f>'[1]🧮 Costos x Producto'!I14</f>
        <v>2.3227031840221302</v>
      </c>
      <c r="H42" s="239">
        <f>IF('[1]🧾 Factura Comercial'!E12=0,0,'[1]🧾 Tributos Aduana'!C16*(IF('[1]🧾 Tributos Aduana'!C5=0,0,'[1]🧾 Factura Comercial'!F12/'[1]🧾 Tributos Aduana'!C5))/'[1]🧾 Factura Comercial'!E12)</f>
        <v>3.6156278610773412E-6</v>
      </c>
      <c r="I42" s="239">
        <f>IF('[1]🧾 Factura Comercial'!E12=0,0,'[1]🏦 Crédito Fiscal'!C10*(IF('[1]🧾 Tributos Aduana'!C5=0,0,'[1]🧾 Factura Comercial'!F12/'[1]🧾 Tributos Aduana'!C5))/'[1]🧾 Factura Comercial'!E12)</f>
        <v>2.6023891079501522E-5</v>
      </c>
      <c r="J42" s="240">
        <f>I42*'[1]📋 Datos Generales'!C19</f>
        <v>9.6808874815745667E-5</v>
      </c>
      <c r="K42" s="243">
        <f>'[1]💰 Precio de Venta'!E13</f>
        <v>0.4</v>
      </c>
      <c r="L42" s="242">
        <f>'[1]💰 Precio de Venta'!F13</f>
        <v>3.8711719733702101</v>
      </c>
      <c r="M42" s="242">
        <f>'[1]💰 Precio de Venta'!G13</f>
        <v>4.5679829285768498</v>
      </c>
      <c r="N42" s="242">
        <f>'[1]💰 Precio de Venta'!H13</f>
        <v>1.54846878934808</v>
      </c>
      <c r="O42" s="244">
        <f>'[1]💰 Precio de Venta'!I13</f>
        <v>657</v>
      </c>
      <c r="P42" s="245">
        <f>N42*'[1]🧾 Factura Comercial'!E12</f>
        <v>7432.6501888707835</v>
      </c>
      <c r="Q42" s="243">
        <f t="shared" si="2"/>
        <v>0.33898305084745661</v>
      </c>
      <c r="R42" s="243">
        <f t="shared" si="3"/>
        <v>0.66666666666666374</v>
      </c>
      <c r="S42" s="246" t="str">
        <f t="shared" si="4"/>
        <v>🟡 MEDIO</v>
      </c>
    </row>
    <row r="43" spans="1:20" ht="24" customHeight="1" thickBot="1" x14ac:dyDescent="0.3">
      <c r="B43" s="154"/>
      <c r="C43" s="503" t="s">
        <v>391</v>
      </c>
      <c r="D43" s="503"/>
      <c r="E43" s="503"/>
      <c r="F43" s="234">
        <f>'[1]🧮 Costos x Producto'!D3</f>
        <v>0</v>
      </c>
      <c r="G43" s="235">
        <f>'[1]🧮 Costos x Producto'!F3</f>
        <v>0</v>
      </c>
      <c r="H43" s="234">
        <f>'[1]🧾 Tributos Aduana'!C16</f>
        <v>881</v>
      </c>
      <c r="I43" s="234">
        <f>'[1]🏦 Crédito Fiscal'!C10</f>
        <v>6341.0972926315799</v>
      </c>
      <c r="J43" s="235">
        <f>'[1]🏦 Crédito Fiscal'!C11</f>
        <v>23588.881928589501</v>
      </c>
      <c r="K43" s="236">
        <f>AVERAGE('[1]💰 Precio de Venta'!E5:E13)</f>
        <v>0.39999999999999997</v>
      </c>
      <c r="L43" s="191"/>
      <c r="M43" s="191"/>
      <c r="N43" s="235">
        <f>SUM(N34:N42)</f>
        <v>54.915339565094506</v>
      </c>
      <c r="O43" s="191"/>
      <c r="P43" s="235">
        <f>SUM(P34:P42)</f>
        <v>78605.584783157858</v>
      </c>
      <c r="Q43" s="236">
        <f>AVERAGE(Q34:Q42)</f>
        <v>0.33898305084745728</v>
      </c>
      <c r="R43" s="205">
        <f>AVERAGE(R34:R42)</f>
        <v>0.66666666666666641</v>
      </c>
      <c r="S43" s="191"/>
    </row>
    <row r="44" spans="1:20" ht="7.5" customHeight="1" thickTop="1" x14ac:dyDescent="0.25"/>
    <row r="45" spans="1:20" ht="21.75" customHeight="1" x14ac:dyDescent="0.25">
      <c r="B45" s="511" t="s">
        <v>392</v>
      </c>
      <c r="C45" s="511"/>
      <c r="D45" s="511"/>
      <c r="E45" s="511"/>
      <c r="F45" s="511"/>
      <c r="G45" s="511"/>
      <c r="H45" s="511"/>
      <c r="I45" s="511"/>
      <c r="J45" s="511"/>
      <c r="K45" s="511"/>
      <c r="L45" s="511"/>
      <c r="M45" s="511"/>
      <c r="N45" s="511"/>
      <c r="O45" s="511"/>
      <c r="P45" s="511"/>
      <c r="Q45" s="511"/>
      <c r="R45" s="511"/>
      <c r="S45" s="511"/>
    </row>
    <row r="46" spans="1:20" ht="18" customHeight="1" x14ac:dyDescent="0.25">
      <c r="B46" s="512" t="s">
        <v>393</v>
      </c>
      <c r="C46" s="512"/>
      <c r="D46" s="513" t="s">
        <v>394</v>
      </c>
      <c r="E46" s="513"/>
      <c r="F46" s="514" t="s">
        <v>395</v>
      </c>
      <c r="G46" s="514"/>
      <c r="H46" s="515" t="s">
        <v>396</v>
      </c>
      <c r="I46" s="515"/>
      <c r="J46" s="516" t="s">
        <v>397</v>
      </c>
      <c r="K46" s="516"/>
      <c r="L46" s="517" t="s">
        <v>398</v>
      </c>
      <c r="M46" s="517"/>
      <c r="N46" s="517" t="s">
        <v>399</v>
      </c>
      <c r="O46" s="517"/>
      <c r="P46" s="518" t="s">
        <v>400</v>
      </c>
      <c r="Q46" s="518"/>
      <c r="R46" s="519" t="s">
        <v>401</v>
      </c>
      <c r="S46" s="519"/>
    </row>
    <row r="47" spans="1:20" ht="18" customHeight="1" x14ac:dyDescent="0.25">
      <c r="B47" s="524" t="str">
        <f>'[1]🧾 Factura Comercial'!C4</f>
        <v>Friction Car Platform Cover</v>
      </c>
      <c r="C47" s="524"/>
      <c r="D47" s="525" t="str">
        <f>'[1]🧾 Factura Comercial'!C5</f>
        <v>Friction Cars OPP Bag 23cm</v>
      </c>
      <c r="E47" s="525"/>
      <c r="F47" s="526" t="str">
        <f>'[1]🧾 Factura Comercial'!C6</f>
        <v>Free Wheel Motor OPP Bag 21cm</v>
      </c>
      <c r="G47" s="526"/>
      <c r="H47" s="527" t="str">
        <f>'[1]🧾 Factura Comercial'!C7</f>
        <v>Friction Cars OPP Bag 22cm</v>
      </c>
      <c r="I47" s="527"/>
      <c r="J47" s="528" t="str">
        <f>'[1]🧾 Factura Comercial'!C8</f>
        <v>Pull Line Friction Car OPP Bag</v>
      </c>
      <c r="K47" s="528"/>
      <c r="L47" s="520" t="str">
        <f>'[1]🧾 Factura Comercial'!C9</f>
        <v>Friction Car OPP Bag</v>
      </c>
      <c r="M47" s="520"/>
      <c r="N47" s="520" t="str">
        <f>'[1]🧾 Factura Comercial'!C10</f>
        <v>Free Wheel Ride on Digger Handle</v>
      </c>
      <c r="O47" s="520"/>
      <c r="P47" s="521" t="str">
        <f>'[1]🧾 Factura Comercial'!C11</f>
        <v>Friction Car with Music and Light</v>
      </c>
      <c r="Q47" s="521"/>
      <c r="R47" s="522" t="str">
        <f>'[1]🧾 Factura Comercial'!C12</f>
        <v>Pull Line Function Car OPP Bag</v>
      </c>
      <c r="S47" s="522"/>
    </row>
    <row r="48" spans="1:20" ht="19.5" customHeight="1" x14ac:dyDescent="0.25">
      <c r="B48" s="206" t="s">
        <v>402</v>
      </c>
      <c r="C48" s="207">
        <f>'[1]🧮 Costos x Producto'!I6</f>
        <v>10.0373959023813</v>
      </c>
      <c r="D48" s="208" t="s">
        <v>402</v>
      </c>
      <c r="E48" s="209">
        <f>'[1]🧮 Costos x Producto'!I7</f>
        <v>5.6408505897680197</v>
      </c>
      <c r="F48" s="210" t="s">
        <v>402</v>
      </c>
      <c r="G48" s="211">
        <f>'[1]🧮 Costos x Producto'!I8</f>
        <v>3.31814740574589</v>
      </c>
      <c r="H48" s="212" t="s">
        <v>402</v>
      </c>
      <c r="I48" s="213">
        <f>'[1]🧮 Costos x Producto'!I9</f>
        <v>2.8204252948840098</v>
      </c>
      <c r="J48" s="214" t="s">
        <v>402</v>
      </c>
      <c r="K48" s="215">
        <f>'[1]🧮 Costos x Producto'!I10</f>
        <v>2.15679581373483</v>
      </c>
      <c r="L48" s="216" t="s">
        <v>402</v>
      </c>
      <c r="M48" s="217">
        <f>'[1]🧮 Costos x Producto'!I11</f>
        <v>2.40565686916577</v>
      </c>
      <c r="N48" s="216" t="s">
        <v>402</v>
      </c>
      <c r="O48" s="217">
        <f>'[1]🧮 Costos x Producto'!I12</f>
        <v>47.366554217022603</v>
      </c>
      <c r="P48" s="218" t="s">
        <v>402</v>
      </c>
      <c r="Q48" s="219">
        <f>'[1]🧮 Costos x Producto'!I13</f>
        <v>6.3044800709172</v>
      </c>
      <c r="R48" s="206" t="s">
        <v>402</v>
      </c>
      <c r="S48" s="207">
        <f>'[1]🧮 Costos x Producto'!I14</f>
        <v>2.3227031840221302</v>
      </c>
    </row>
    <row r="49" spans="2:19" ht="19.5" customHeight="1" x14ac:dyDescent="0.25">
      <c r="B49" s="206" t="s">
        <v>403</v>
      </c>
      <c r="C49" s="207">
        <f>'[1]💰 Precio de Venta'!G5</f>
        <v>19.740211941349902</v>
      </c>
      <c r="D49" s="208" t="s">
        <v>403</v>
      </c>
      <c r="E49" s="209">
        <f>'[1]💰 Precio de Venta'!G6</f>
        <v>11.0936728265438</v>
      </c>
      <c r="F49" s="210" t="s">
        <v>403</v>
      </c>
      <c r="G49" s="211">
        <f>'[1]💰 Precio de Venta'!G7</f>
        <v>6.5256898979669202</v>
      </c>
      <c r="H49" s="212" t="s">
        <v>403</v>
      </c>
      <c r="I49" s="213">
        <f>'[1]💰 Precio de Venta'!G8</f>
        <v>5.5468364132718797</v>
      </c>
      <c r="J49" s="214" t="s">
        <v>403</v>
      </c>
      <c r="K49" s="215">
        <f>'[1]💰 Precio de Venta'!G9</f>
        <v>4.2416984336784997</v>
      </c>
      <c r="L49" s="216" t="s">
        <v>403</v>
      </c>
      <c r="M49" s="217">
        <f>'[1]💰 Precio de Venta'!G10</f>
        <v>4.73112517602602</v>
      </c>
      <c r="N49" s="216" t="s">
        <v>403</v>
      </c>
      <c r="O49" s="217">
        <f>'[1]💰 Precio de Venta'!G11</f>
        <v>93.154223293477799</v>
      </c>
      <c r="P49" s="218" t="s">
        <v>403</v>
      </c>
      <c r="Q49" s="219">
        <f>'[1]💰 Precio de Venta'!G12</f>
        <v>12.398810806137201</v>
      </c>
      <c r="R49" s="206" t="s">
        <v>403</v>
      </c>
      <c r="S49" s="207">
        <f>'[1]💰 Precio de Venta'!G13</f>
        <v>4.5679829285768498</v>
      </c>
    </row>
    <row r="50" spans="2:19" ht="19.5" customHeight="1" x14ac:dyDescent="0.25">
      <c r="B50" s="206" t="s">
        <v>404</v>
      </c>
      <c r="C50" s="207">
        <f>'[1]💰 Precio de Venta'!H5</f>
        <v>6.6915972682542204</v>
      </c>
      <c r="D50" s="208" t="s">
        <v>404</v>
      </c>
      <c r="E50" s="209">
        <f>'[1]💰 Precio de Venta'!H6</f>
        <v>3.76056705984535</v>
      </c>
      <c r="F50" s="210" t="s">
        <v>404</v>
      </c>
      <c r="G50" s="211">
        <f>'[1]💰 Precio de Venta'!H7</f>
        <v>2.2120982704972598</v>
      </c>
      <c r="H50" s="212" t="s">
        <v>404</v>
      </c>
      <c r="I50" s="213">
        <f>'[1]💰 Precio de Venta'!H8</f>
        <v>1.8802835299226699</v>
      </c>
      <c r="J50" s="214" t="s">
        <v>404</v>
      </c>
      <c r="K50" s="215">
        <f>'[1]💰 Precio de Venta'!H9</f>
        <v>1.4378638758232201</v>
      </c>
      <c r="L50" s="216" t="s">
        <v>404</v>
      </c>
      <c r="M50" s="217">
        <f>'[1]💰 Precio de Venta'!H10</f>
        <v>1.60377124611051</v>
      </c>
      <c r="N50" s="216" t="s">
        <v>404</v>
      </c>
      <c r="O50" s="217">
        <f>'[1]💰 Precio de Venta'!H11</f>
        <v>31.577702811348399</v>
      </c>
      <c r="P50" s="218" t="s">
        <v>404</v>
      </c>
      <c r="Q50" s="219">
        <f>'[1]💰 Precio de Venta'!H12</f>
        <v>4.2029867139448003</v>
      </c>
      <c r="R50" s="206" t="s">
        <v>404</v>
      </c>
      <c r="S50" s="207">
        <f>'[1]💰 Precio de Venta'!H13</f>
        <v>1.54846878934808</v>
      </c>
    </row>
    <row r="51" spans="2:19" ht="19.5" customHeight="1" x14ac:dyDescent="0.25">
      <c r="B51" s="206" t="s">
        <v>405</v>
      </c>
      <c r="C51" s="220">
        <f>'[1]💰 Precio de Venta'!E5</f>
        <v>0.4</v>
      </c>
      <c r="D51" s="208" t="s">
        <v>405</v>
      </c>
      <c r="E51" s="221">
        <f>'[1]💰 Precio de Venta'!E6</f>
        <v>0.4</v>
      </c>
      <c r="F51" s="210" t="s">
        <v>405</v>
      </c>
      <c r="G51" s="222">
        <f>'[1]💰 Precio de Venta'!E7</f>
        <v>0.4</v>
      </c>
      <c r="H51" s="212" t="s">
        <v>405</v>
      </c>
      <c r="I51" s="223">
        <f>'[1]💰 Precio de Venta'!E8</f>
        <v>0.4</v>
      </c>
      <c r="J51" s="214" t="s">
        <v>405</v>
      </c>
      <c r="K51" s="224">
        <f>'[1]💰 Precio de Venta'!E9</f>
        <v>0.4</v>
      </c>
      <c r="L51" s="216" t="s">
        <v>405</v>
      </c>
      <c r="M51" s="225">
        <f>'[1]💰 Precio de Venta'!E10</f>
        <v>0.4</v>
      </c>
      <c r="N51" s="216" t="s">
        <v>405</v>
      </c>
      <c r="O51" s="225">
        <f>'[1]💰 Precio de Venta'!E11</f>
        <v>0.4</v>
      </c>
      <c r="P51" s="218" t="s">
        <v>405</v>
      </c>
      <c r="Q51" s="226">
        <f>'[1]💰 Precio de Venta'!E12</f>
        <v>0.4</v>
      </c>
      <c r="R51" s="206" t="s">
        <v>405</v>
      </c>
      <c r="S51" s="220">
        <f>'[1]💰 Precio de Venta'!E13</f>
        <v>0.4</v>
      </c>
    </row>
    <row r="52" spans="2:19" ht="19.5" customHeight="1" x14ac:dyDescent="0.25">
      <c r="B52" s="206" t="s">
        <v>406</v>
      </c>
      <c r="C52" s="220">
        <f>IF('[1]🧮 Costos x Producto'!I6=0,0,'[1]💰 Precio de Venta'!H5/'[1]🧮 Costos x Producto'!I6)</f>
        <v>0.66666666666666863</v>
      </c>
      <c r="D52" s="208" t="s">
        <v>406</v>
      </c>
      <c r="E52" s="221">
        <f>IF('[1]🧮 Costos x Producto'!I7=0,0,'[1]💰 Precio de Venta'!H6/'[1]🧮 Costos x Producto'!I7)</f>
        <v>0.6666666666666673</v>
      </c>
      <c r="F52" s="210" t="s">
        <v>406</v>
      </c>
      <c r="G52" s="222">
        <f>IF('[1]🧮 Costos x Producto'!I8=0,0,'[1]💰 Precio de Venta'!H7/'[1]🧮 Costos x Producto'!I8)</f>
        <v>0.66666666666666663</v>
      </c>
      <c r="H52" s="212" t="s">
        <v>406</v>
      </c>
      <c r="I52" s="223">
        <f>IF('[1]🧮 Costos x Producto'!I9=0,0,'[1]💰 Precio de Venta'!H8/'[1]🧮 Costos x Producto'!I9)</f>
        <v>0.66666666666666552</v>
      </c>
      <c r="J52" s="214" t="s">
        <v>406</v>
      </c>
      <c r="K52" s="224">
        <f>IF('[1]🧮 Costos x Producto'!I10=0,0,'[1]💰 Precio de Venta'!H9/'[1]🧮 Costos x Producto'!I10)</f>
        <v>0.66666666666666674</v>
      </c>
      <c r="L52" s="216" t="s">
        <v>406</v>
      </c>
      <c r="M52" s="225">
        <f>IF('[1]🧮 Costos x Producto'!I11=0,0,'[1]💰 Precio de Venta'!H10/'[1]🧮 Costos x Producto'!I11)</f>
        <v>0.6666666666666653</v>
      </c>
      <c r="N52" s="216" t="s">
        <v>406</v>
      </c>
      <c r="O52" s="225">
        <f>IF('[1]🧮 Costos x Producto'!I12=0,0,'[1]💰 Precio de Venta'!H11/'[1]🧮 Costos x Producto'!I12)</f>
        <v>0.66666666666666663</v>
      </c>
      <c r="P52" s="218" t="s">
        <v>406</v>
      </c>
      <c r="Q52" s="226">
        <f>IF('[1]🧮 Costos x Producto'!I13=0,0,'[1]💰 Precio de Venta'!H12/'[1]🧮 Costos x Producto'!I13)</f>
        <v>0.66666666666666674</v>
      </c>
      <c r="R52" s="206" t="s">
        <v>406</v>
      </c>
      <c r="S52" s="220">
        <f>IF('[1]🧮 Costos x Producto'!I14=0,0,'[1]💰 Precio de Venta'!H13/'[1]🧮 Costos x Producto'!I14)</f>
        <v>0.66666666666666374</v>
      </c>
    </row>
    <row r="53" spans="2:19" ht="3.75" customHeight="1" x14ac:dyDescent="0.25">
      <c r="B53" s="227"/>
      <c r="C53" s="227"/>
      <c r="D53" s="228"/>
      <c r="E53" s="228"/>
      <c r="F53" s="229"/>
      <c r="G53" s="229"/>
      <c r="H53" s="230"/>
      <c r="I53" s="230"/>
      <c r="J53" s="231"/>
      <c r="K53" s="231"/>
      <c r="L53" s="232"/>
      <c r="M53" s="232"/>
      <c r="N53" s="233"/>
      <c r="O53" s="233"/>
      <c r="P53" s="227"/>
      <c r="Q53" s="227"/>
      <c r="R53" s="228"/>
      <c r="S53" s="228"/>
    </row>
    <row r="71" spans="2:19" ht="3.75" customHeight="1" x14ac:dyDescent="0.25">
      <c r="B71" s="146"/>
      <c r="C71" s="147"/>
      <c r="D71" s="148"/>
      <c r="E71" s="149"/>
      <c r="F71" s="147"/>
      <c r="G71" s="150"/>
      <c r="H71" s="151"/>
      <c r="I71" s="152"/>
      <c r="J71" s="153"/>
      <c r="K71" s="153"/>
      <c r="L71" s="152"/>
      <c r="M71" s="151"/>
      <c r="N71" s="150"/>
      <c r="O71" s="147"/>
      <c r="P71" s="149"/>
      <c r="Q71" s="148"/>
      <c r="R71" s="147"/>
      <c r="S71" s="146"/>
    </row>
    <row r="72" spans="2:19" ht="15.75" customHeight="1" x14ac:dyDescent="0.25">
      <c r="B72" s="523" t="s">
        <v>407</v>
      </c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3"/>
      <c r="Q72" s="523"/>
      <c r="R72" s="523"/>
      <c r="S72" s="523"/>
    </row>
    <row r="200" spans="2:5" ht="15" customHeight="1" x14ac:dyDescent="0.25">
      <c r="B200" s="144" t="s">
        <v>338</v>
      </c>
      <c r="C200" s="144" t="s">
        <v>408</v>
      </c>
      <c r="D200" s="144" t="s">
        <v>409</v>
      </c>
      <c r="E200" s="144" t="s">
        <v>410</v>
      </c>
    </row>
    <row r="201" spans="2:5" ht="15" customHeight="1" x14ac:dyDescent="0.25">
      <c r="B201" s="144" t="str">
        <f>'[1]🧾 Factura Comercial'!C4</f>
        <v>Friction Car Platform Cover</v>
      </c>
      <c r="C201" s="155">
        <f t="shared" ref="C201:C209" si="5">P34</f>
        <v>3211.966688762026</v>
      </c>
      <c r="D201" s="155">
        <f>'[1]🧮 Costos x Producto'!I6</f>
        <v>10.0373959023813</v>
      </c>
      <c r="E201" s="155">
        <f>'[1]💰 Precio de Venta'!G5</f>
        <v>19.740211941349902</v>
      </c>
    </row>
    <row r="202" spans="2:5" ht="15" customHeight="1" x14ac:dyDescent="0.25">
      <c r="B202" s="144" t="str">
        <f>'[1]🧾 Factura Comercial'!C5</f>
        <v>Friction Cars OPP Bag 23cm</v>
      </c>
      <c r="C202" s="155">
        <f t="shared" si="5"/>
        <v>10830.433132354608</v>
      </c>
      <c r="D202" s="155">
        <f>'[1]🧮 Costos x Producto'!I7</f>
        <v>5.6408505897680197</v>
      </c>
      <c r="E202" s="155">
        <f>'[1]💰 Precio de Venta'!G6</f>
        <v>11.0936728265438</v>
      </c>
    </row>
    <row r="203" spans="2:5" ht="15" customHeight="1" x14ac:dyDescent="0.25">
      <c r="B203" s="144" t="str">
        <f>'[1]🧾 Factura Comercial'!C6</f>
        <v>Free Wheel Motor OPP Bag 21cm</v>
      </c>
      <c r="C203" s="155">
        <f t="shared" si="5"/>
        <v>6370.8430190321087</v>
      </c>
      <c r="D203" s="155">
        <f>'[1]🧮 Costos x Producto'!I8</f>
        <v>3.31814740574589</v>
      </c>
      <c r="E203" s="155">
        <f>'[1]💰 Precio de Venta'!G7</f>
        <v>6.5256898979669202</v>
      </c>
    </row>
    <row r="204" spans="2:5" ht="15" customHeight="1" x14ac:dyDescent="0.25">
      <c r="B204" s="144" t="str">
        <f>'[1]🧾 Factura Comercial'!C7</f>
        <v>Friction Cars OPP Bag 22cm</v>
      </c>
      <c r="C204" s="155">
        <f t="shared" si="5"/>
        <v>19224.018809929377</v>
      </c>
      <c r="D204" s="155">
        <f>'[1]🧮 Costos x Producto'!I9</f>
        <v>2.8204252948840098</v>
      </c>
      <c r="E204" s="155">
        <f>'[1]💰 Precio de Venta'!G8</f>
        <v>5.5468364132718797</v>
      </c>
    </row>
    <row r="205" spans="2:5" ht="15" customHeight="1" x14ac:dyDescent="0.25">
      <c r="B205" s="144" t="str">
        <f>'[1]🧾 Factura Comercial'!C8</f>
        <v>Pull Line Friction Car OPP Bag</v>
      </c>
      <c r="C205" s="155">
        <f t="shared" si="5"/>
        <v>12423.143887112621</v>
      </c>
      <c r="D205" s="155">
        <f>'[1]🧮 Costos x Producto'!I10</f>
        <v>2.15679581373483</v>
      </c>
      <c r="E205" s="155">
        <f>'[1]💰 Precio de Venta'!G9</f>
        <v>4.2416984336784997</v>
      </c>
    </row>
    <row r="206" spans="2:5" ht="15" customHeight="1" x14ac:dyDescent="0.25">
      <c r="B206" s="144" t="str">
        <f>'[1]🧾 Factura Comercial'!C9</f>
        <v>Friction Car OPP Bag</v>
      </c>
      <c r="C206" s="155">
        <f t="shared" si="5"/>
        <v>3464.1458915987018</v>
      </c>
      <c r="D206" s="155">
        <f>'[1]🧮 Costos x Producto'!I11</f>
        <v>2.40565686916577</v>
      </c>
      <c r="E206" s="155">
        <f>'[1]💰 Precio de Venta'!G10</f>
        <v>4.73112517602602</v>
      </c>
    </row>
    <row r="207" spans="2:5" ht="15" customHeight="1" x14ac:dyDescent="0.25">
      <c r="B207" s="144" t="str">
        <f>'[1]🧾 Factura Comercial'!C10</f>
        <v>Free Wheel Ride on Digger Handle</v>
      </c>
      <c r="C207" s="155">
        <f t="shared" si="5"/>
        <v>7578.6486747236158</v>
      </c>
      <c r="D207" s="155">
        <f>'[1]🧮 Costos x Producto'!I12</f>
        <v>47.366554217022603</v>
      </c>
      <c r="E207" s="155">
        <f>'[1]💰 Precio de Venta'!G11</f>
        <v>93.154223293477799</v>
      </c>
    </row>
    <row r="208" spans="2:5" ht="15" customHeight="1" x14ac:dyDescent="0.25">
      <c r="B208" s="144" t="str">
        <f>'[1]🧾 Factura Comercial'!C11</f>
        <v>Friction Car with Music and Light</v>
      </c>
      <c r="C208" s="155">
        <f t="shared" si="5"/>
        <v>8069.7344907740162</v>
      </c>
      <c r="D208" s="155">
        <f>'[1]🧮 Costos x Producto'!I13</f>
        <v>6.3044800709172</v>
      </c>
      <c r="E208" s="155">
        <f>'[1]💰 Precio de Venta'!G12</f>
        <v>12.398810806137201</v>
      </c>
    </row>
    <row r="209" spans="2:5" ht="15" customHeight="1" x14ac:dyDescent="0.25">
      <c r="B209" s="144" t="str">
        <f>'[1]🧾 Factura Comercial'!C12</f>
        <v>Pull Line Function Car OPP Bag</v>
      </c>
      <c r="C209" s="155">
        <f t="shared" si="5"/>
        <v>7432.6501888707835</v>
      </c>
      <c r="D209" s="155">
        <f>'[1]🧮 Costos x Producto'!I14</f>
        <v>2.3227031840221302</v>
      </c>
      <c r="E209" s="155">
        <f>'[1]💰 Precio de Venta'!G13</f>
        <v>4.5679829285768498</v>
      </c>
    </row>
  </sheetData>
  <mergeCells count="33">
    <mergeCell ref="N47:O47"/>
    <mergeCell ref="P47:Q47"/>
    <mergeCell ref="R47:S47"/>
    <mergeCell ref="B72:S72"/>
    <mergeCell ref="B47:C47"/>
    <mergeCell ref="D47:E47"/>
    <mergeCell ref="F47:G47"/>
    <mergeCell ref="H47:I47"/>
    <mergeCell ref="J47:K47"/>
    <mergeCell ref="L47:M47"/>
    <mergeCell ref="B45:S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C43:E43"/>
    <mergeCell ref="B2:S2"/>
    <mergeCell ref="C4:D4"/>
    <mergeCell ref="F4:G4"/>
    <mergeCell ref="I4:J4"/>
    <mergeCell ref="L4:M4"/>
    <mergeCell ref="O4:P4"/>
    <mergeCell ref="R4:S4"/>
    <mergeCell ref="B6:S6"/>
    <mergeCell ref="C17:D17"/>
    <mergeCell ref="B19:S19"/>
    <mergeCell ref="C30:D30"/>
    <mergeCell ref="B32:S3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AD992-9DFE-48D4-AD77-ADC3D3CFB008}">
  <sheetPr>
    <tabColor rgb="FF0070C0"/>
  </sheetPr>
  <dimension ref="A1:AQ69"/>
  <sheetViews>
    <sheetView showGridLines="0" showRowColHeaders="0" zoomScale="40" zoomScaleNormal="40" workbookViewId="0">
      <selection activeCell="T69" sqref="T6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cols>
    <col min="1" max="1" width="3.85546875" customWidth="1"/>
    <col min="2" max="2" width="4.85546875" customWidth="1"/>
    <col min="4" max="4" width="2.7109375" customWidth="1"/>
    <col min="5" max="5" width="1.28515625" customWidth="1"/>
    <col min="6" max="6" width="13.7109375" customWidth="1"/>
    <col min="7" max="7" width="3.7109375" customWidth="1"/>
    <col min="8" max="8" width="18.7109375" bestFit="1" customWidth="1"/>
    <col min="10" max="10" width="11.85546875" customWidth="1"/>
    <col min="11" max="11" width="16.85546875" bestFit="1" customWidth="1"/>
    <col min="13" max="13" width="19.85546875" bestFit="1" customWidth="1"/>
    <col min="15" max="15" width="16.5703125" bestFit="1" customWidth="1"/>
    <col min="17" max="17" width="18.5703125" bestFit="1" customWidth="1"/>
    <col min="20" max="20" width="22.28515625" customWidth="1"/>
    <col min="21" max="21" width="7.85546875" customWidth="1"/>
    <col min="42" max="42" width="2" customWidth="1"/>
  </cols>
  <sheetData>
    <row r="1" spans="2:43" s="140" customFormat="1" x14ac:dyDescent="0.25"/>
    <row r="2" spans="2:43" s="140" customFormat="1" x14ac:dyDescent="0.25"/>
    <row r="3" spans="2:43" s="140" customFormat="1" x14ac:dyDescent="0.25"/>
    <row r="4" spans="2:43" s="140" customFormat="1" x14ac:dyDescent="0.25"/>
    <row r="5" spans="2:43" s="93" customFormat="1" x14ac:dyDescent="0.25"/>
    <row r="6" spans="2:43" s="93" customFormat="1" ht="11.25" customHeight="1" x14ac:dyDescent="0.25"/>
    <row r="7" spans="2:43" s="93" customFormat="1" ht="9.75" customHeight="1" x14ac:dyDescent="0.25"/>
    <row r="8" spans="2:43" s="93" customFormat="1" x14ac:dyDescent="0.25"/>
    <row r="9" spans="2:43" s="93" customFormat="1" x14ac:dyDescent="0.25"/>
    <row r="10" spans="2:43" s="93" customFormat="1" x14ac:dyDescent="0.25"/>
    <row r="11" spans="2:43" s="93" customFormat="1" x14ac:dyDescent="0.25"/>
    <row r="12" spans="2:43" s="93" customFormat="1" x14ac:dyDescent="0.25"/>
    <row r="13" spans="2:43" s="93" customFormat="1" ht="33.75" customHeight="1" thickBot="1" x14ac:dyDescent="0.3">
      <c r="B13" s="529" t="str">
        <f>'📋 Datos Generales'!E6&amp;"   |   DUA: "&amp;'📋 Datos Generales'!E5&amp;"   |   País: "&amp;'📋 Datos Generales'!E9&amp;"   |   Proveedor: "&amp;'📋 Datos Generales'!E10&amp;"   |   Incoterm: "&amp;'📋 Datos Generales'!E11&amp;"   |   TC: S/."&amp;TEXT('📋 Datos Generales'!E19,"0.000")</f>
        <v>EMPRESA IMPORTADORA S.A.C.   |   DUA: DAM-2025-000001   |   País: China   |   Proveedor: HWPI Co. Ltd.   |   Incoterm: FOB   |   TC: S/.3.720</v>
      </c>
      <c r="C13" s="529"/>
      <c r="D13" s="529"/>
      <c r="E13" s="529"/>
      <c r="F13" s="529"/>
      <c r="G13" s="529"/>
      <c r="H13" s="529"/>
      <c r="I13" s="529"/>
      <c r="J13" s="529"/>
      <c r="K13" s="529"/>
      <c r="L13" s="529"/>
      <c r="M13" s="529"/>
      <c r="N13" s="529"/>
      <c r="O13" s="529"/>
      <c r="P13" s="529"/>
      <c r="Q13" s="529"/>
      <c r="R13" s="529"/>
      <c r="S13" s="529"/>
      <c r="T13" s="529"/>
      <c r="U13" s="529"/>
      <c r="V13" s="529"/>
      <c r="W13" s="529"/>
      <c r="X13" s="529"/>
      <c r="Y13" s="529"/>
      <c r="Z13" s="529"/>
      <c r="AA13" s="529"/>
      <c r="AB13" s="529"/>
      <c r="AC13" s="529"/>
      <c r="AD13" s="529"/>
      <c r="AE13" s="529"/>
      <c r="AF13" s="529"/>
      <c r="AG13" s="529"/>
      <c r="AH13" s="530" t="s">
        <v>411</v>
      </c>
      <c r="AI13" s="530"/>
      <c r="AJ13" s="530"/>
      <c r="AK13" s="530"/>
      <c r="AL13" s="530"/>
      <c r="AM13" s="530"/>
      <c r="AN13" s="530"/>
      <c r="AO13" s="530"/>
      <c r="AP13" s="531"/>
    </row>
    <row r="14" spans="2:43" s="93" customFormat="1" ht="51" customHeight="1" thickBot="1" x14ac:dyDescent="0.3"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532" t="s">
        <v>414</v>
      </c>
      <c r="AI14" s="533"/>
      <c r="AJ14" s="533"/>
      <c r="AK14" s="533"/>
      <c r="AL14" s="533"/>
      <c r="AM14" s="533"/>
      <c r="AN14" s="533"/>
      <c r="AO14" s="533"/>
      <c r="AP14" s="534"/>
    </row>
    <row r="15" spans="2:43" s="93" customFormat="1" ht="36" customHeight="1" x14ac:dyDescent="0.25"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</row>
    <row r="16" spans="2:43" s="134" customFormat="1" ht="11.25" customHeight="1" x14ac:dyDescent="0.25">
      <c r="C16" s="372"/>
      <c r="D16" s="372"/>
      <c r="E16" s="372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</row>
    <row r="17" spans="3:40" s="134" customFormat="1" ht="11.25" customHeight="1" x14ac:dyDescent="0.25">
      <c r="C17" s="372"/>
      <c r="D17" s="372"/>
      <c r="E17" s="372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</row>
    <row r="18" spans="3:40" s="134" customFormat="1" ht="30" customHeight="1" x14ac:dyDescent="0.25">
      <c r="C18" s="372"/>
      <c r="D18" s="372"/>
      <c r="E18" s="372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</row>
    <row r="19" spans="3:40" s="134" customFormat="1" ht="30" customHeight="1" x14ac:dyDescent="0.25"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</row>
    <row r="20" spans="3:40" s="137" customFormat="1" ht="30" customHeight="1" x14ac:dyDescent="0.25"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</row>
    <row r="21" spans="3:40" s="137" customFormat="1" ht="30" customHeight="1" x14ac:dyDescent="0.25"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</row>
    <row r="22" spans="3:40" s="137" customFormat="1" ht="30" customHeight="1" x14ac:dyDescent="0.25">
      <c r="C22" s="136"/>
      <c r="D22" s="136"/>
      <c r="E22" s="136"/>
      <c r="F22" s="136"/>
      <c r="G22" s="136"/>
      <c r="H22" s="320">
        <f>VLOOKUP($AH$14,TABLA_BASE[],3,FALSE)</f>
        <v>2880</v>
      </c>
      <c r="I22" s="321"/>
      <c r="J22" s="322"/>
      <c r="K22" s="323">
        <f>VLOOKUP($AH$14,TABLA_BASE[],4,FALSE)</f>
        <v>0.68</v>
      </c>
      <c r="L22" s="324"/>
      <c r="M22" s="323">
        <f>VLOOKUP($AH$14,TABLA_BASE[],5,FALSE)</f>
        <v>1958.4</v>
      </c>
      <c r="N22" s="322"/>
      <c r="O22" s="325">
        <f>VLOOKUP($AH$14,TABLA_BASE[],6,FALSE)</f>
        <v>0.13778198027826558</v>
      </c>
      <c r="P22" s="322"/>
      <c r="Q22" s="326">
        <f>VLOOKUP($AH$14,TABLA_BASE[],7,FALSE)</f>
        <v>2.5296000000000003</v>
      </c>
      <c r="R22" s="327"/>
      <c r="S22" s="327"/>
      <c r="T22" s="326">
        <f>VLOOKUP($AH$14,TABLA_BASE[],8,FALSE)</f>
        <v>7285.2480000000005</v>
      </c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</row>
    <row r="23" spans="3:40" s="86" customFormat="1" x14ac:dyDescent="0.25"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</row>
    <row r="24" spans="3:40" s="86" customFormat="1" x14ac:dyDescent="0.25"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</row>
    <row r="25" spans="3:40" s="86" customFormat="1" x14ac:dyDescent="0.25"/>
    <row r="26" spans="3:40" s="86" customFormat="1" x14ac:dyDescent="0.25">
      <c r="AN26" s="138"/>
    </row>
    <row r="27" spans="3:40" s="86" customFormat="1" x14ac:dyDescent="0.25">
      <c r="M27" s="139"/>
    </row>
    <row r="28" spans="3:40" s="86" customFormat="1" ht="8.25" customHeight="1" x14ac:dyDescent="0.25">
      <c r="M28" s="139"/>
    </row>
    <row r="29" spans="3:40" s="86" customFormat="1" ht="19.5" customHeight="1" x14ac:dyDescent="0.25">
      <c r="M29" s="139"/>
    </row>
    <row r="30" spans="3:40" s="86" customFormat="1" ht="22.5" customHeight="1" x14ac:dyDescent="0.25">
      <c r="F30" s="371"/>
      <c r="G30" s="371"/>
      <c r="H30" s="371"/>
      <c r="I30" s="371"/>
      <c r="J30" s="371"/>
      <c r="K30" s="371"/>
      <c r="L30" s="371"/>
      <c r="M30" s="371"/>
      <c r="N30" s="371"/>
      <c r="O30" s="371"/>
      <c r="P30" s="371"/>
      <c r="Q30" s="371"/>
      <c r="R30" s="371"/>
      <c r="S30" s="371"/>
      <c r="T30" s="371"/>
      <c r="U30" s="371"/>
      <c r="V30" s="371"/>
      <c r="W30" s="371"/>
      <c r="X30" s="371"/>
      <c r="Y30" s="142"/>
      <c r="Z30" s="142"/>
      <c r="AA30" s="142"/>
      <c r="AB30" s="142"/>
      <c r="AC30" s="142"/>
      <c r="AD30" s="142"/>
      <c r="AE30" s="142"/>
      <c r="AF30" s="143"/>
      <c r="AG30" s="143"/>
    </row>
    <row r="31" spans="3:40" s="86" customFormat="1" x14ac:dyDescent="0.25"/>
    <row r="32" spans="3:40" s="86" customFormat="1" ht="26.25" x14ac:dyDescent="0.4">
      <c r="H32" s="302"/>
      <c r="I32" s="302"/>
      <c r="J32" s="302"/>
      <c r="K32" s="302"/>
      <c r="L32" s="302"/>
      <c r="M32" s="302"/>
      <c r="N32" s="302"/>
      <c r="O32" s="302"/>
      <c r="P32" s="302"/>
      <c r="Q32" s="302"/>
      <c r="R32" s="302"/>
      <c r="S32" s="302"/>
      <c r="T32" s="302"/>
    </row>
    <row r="33" spans="6:21" s="86" customFormat="1" ht="26.25" x14ac:dyDescent="0.4">
      <c r="I33" s="302"/>
      <c r="J33" s="302"/>
      <c r="K33" s="316">
        <f>VLOOKUP($AH$14,TABLA_BASE[],22,FALSE)</f>
        <v>178.3670403890315</v>
      </c>
      <c r="L33" s="302"/>
      <c r="M33" s="316">
        <f>VLOOKUP($AH$14,TABLA_BASE[],24,FALSE)</f>
        <v>1428.9865189787924</v>
      </c>
      <c r="N33" s="302"/>
      <c r="O33" s="316">
        <f>VLOOKUP($AH$14,TABLA_BASE[],26,FALSE)</f>
        <v>368.83023639065249</v>
      </c>
      <c r="P33" s="302"/>
      <c r="Q33" s="316">
        <f>VLOOKUP($AH$14,TABLA_BASE[],30,FALSE)</f>
        <v>2481.5570768607322</v>
      </c>
      <c r="R33" s="302"/>
      <c r="S33" s="302"/>
      <c r="T33" s="317">
        <f>'Detallado por producto'!AO3</f>
        <v>0.4</v>
      </c>
    </row>
    <row r="34" spans="6:21" s="86" customFormat="1" ht="26.25" x14ac:dyDescent="0.4">
      <c r="H34" s="316">
        <f>VLOOKUP($AH$14,TABLA_BASE[],20,FALSE)</f>
        <v>505.37328110225587</v>
      </c>
    </row>
    <row r="35" spans="6:21" s="86" customFormat="1" x14ac:dyDescent="0.25"/>
    <row r="36" spans="6:21" s="86" customFormat="1" x14ac:dyDescent="0.25"/>
    <row r="37" spans="6:21" s="86" customFormat="1" x14ac:dyDescent="0.25">
      <c r="F37" s="329"/>
      <c r="G37" s="329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</row>
    <row r="38" spans="6:21" s="86" customFormat="1" x14ac:dyDescent="0.25">
      <c r="F38" s="329"/>
      <c r="G38" s="329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</row>
    <row r="39" spans="6:21" s="86" customFormat="1" x14ac:dyDescent="0.25">
      <c r="F39" s="329"/>
      <c r="G39" s="329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</row>
    <row r="40" spans="6:21" s="86" customFormat="1" ht="23.25" x14ac:dyDescent="0.35">
      <c r="F40" s="329"/>
      <c r="G40" s="329"/>
      <c r="H40" s="318">
        <f>'Detallado por producto'!AP3</f>
        <v>9.8111233438583483</v>
      </c>
      <c r="I40" s="319"/>
      <c r="J40" s="319"/>
      <c r="K40" s="318">
        <f>VLOOKUP($AH$14,TABLA_BASE[],43,FALSE)</f>
        <v>6.5061531992660644</v>
      </c>
      <c r="L40" s="319"/>
      <c r="M40" s="318">
        <f>VLOOKUP($AH$14,TABLA_BASE[],44,FALSE)</f>
        <v>2.2054756607681578</v>
      </c>
      <c r="N40" s="319"/>
      <c r="O40" s="319">
        <f>'Detallado por producto'!AS3</f>
        <v>66</v>
      </c>
      <c r="P40" s="319"/>
      <c r="Q40" s="318">
        <f>'Detallado por producto'!AT3</f>
        <v>1883.7356820208033</v>
      </c>
      <c r="R40" s="319"/>
      <c r="S40" s="319"/>
      <c r="T40" s="319"/>
      <c r="U40" s="87"/>
    </row>
    <row r="41" spans="6:21" s="86" customFormat="1" x14ac:dyDescent="0.25">
      <c r="F41" s="329"/>
      <c r="G41" s="329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</row>
    <row r="42" spans="6:21" s="86" customFormat="1" x14ac:dyDescent="0.25">
      <c r="F42" s="329"/>
      <c r="G42" s="329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</row>
    <row r="43" spans="6:21" s="86" customFormat="1" x14ac:dyDescent="0.25">
      <c r="F43" s="329"/>
      <c r="G43" s="329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</row>
    <row r="44" spans="6:21" s="86" customFormat="1" x14ac:dyDescent="0.25">
      <c r="F44" s="329"/>
      <c r="G44" s="329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</row>
    <row r="45" spans="6:21" s="86" customFormat="1" x14ac:dyDescent="0.25">
      <c r="F45" s="329"/>
      <c r="G45" s="329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</row>
    <row r="46" spans="6:21" s="86" customFormat="1" x14ac:dyDescent="0.25">
      <c r="F46" s="329"/>
      <c r="G46" s="329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</row>
    <row r="47" spans="6:21" s="86" customFormat="1" x14ac:dyDescent="0.25">
      <c r="F47" s="329"/>
      <c r="G47" s="329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</row>
    <row r="48" spans="6:21" s="86" customFormat="1" x14ac:dyDescent="0.25">
      <c r="F48" s="329"/>
      <c r="G48" s="329"/>
      <c r="H48" s="87"/>
      <c r="I48" s="87"/>
      <c r="J48" s="87"/>
      <c r="K48" s="87"/>
      <c r="L48" s="87"/>
      <c r="M48" s="328">
        <f>VLOOKUP($AH$14,TABLA_BASE[],46,FALSE)</f>
        <v>6351.7699030122949</v>
      </c>
      <c r="N48" s="87"/>
      <c r="O48" s="87"/>
      <c r="P48" s="87"/>
      <c r="Q48" s="87"/>
      <c r="R48" s="87"/>
      <c r="S48" s="87"/>
      <c r="T48" s="87"/>
      <c r="U48" s="87"/>
    </row>
    <row r="49" spans="6:21" s="86" customFormat="1" x14ac:dyDescent="0.25">
      <c r="F49" s="329"/>
      <c r="G49" s="329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</row>
    <row r="50" spans="6:21" s="86" customFormat="1" x14ac:dyDescent="0.25">
      <c r="F50" s="329"/>
      <c r="G50" s="329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</row>
    <row r="51" spans="6:21" s="86" customFormat="1" ht="21" x14ac:dyDescent="0.35">
      <c r="F51" s="329"/>
      <c r="G51" s="329"/>
      <c r="H51" s="332"/>
      <c r="I51" s="332"/>
      <c r="J51" s="331">
        <f>VLOOKUP($AH$14,TABLA_BASE[],45,FALSE)</f>
        <v>394</v>
      </c>
      <c r="K51" s="333"/>
      <c r="L51" s="332"/>
      <c r="M51" s="334"/>
      <c r="N51" s="332"/>
      <c r="O51" s="332"/>
      <c r="P51" s="332"/>
      <c r="Q51" s="332"/>
      <c r="R51" s="332"/>
      <c r="S51" s="332"/>
      <c r="T51" s="332"/>
      <c r="U51" s="87"/>
    </row>
    <row r="52" spans="6:21" s="86" customFormat="1" x14ac:dyDescent="0.25">
      <c r="F52" s="329"/>
      <c r="G52" s="329"/>
      <c r="H52" s="328">
        <f>VLOOKUP($AH$14,TABLA_BASE[],33,FALSE)</f>
        <v>3.3082134911522361</v>
      </c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</row>
    <row r="53" spans="6:21" s="86" customFormat="1" x14ac:dyDescent="0.25">
      <c r="F53" s="329"/>
      <c r="G53" s="329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</row>
    <row r="54" spans="6:21" s="86" customFormat="1" ht="21" x14ac:dyDescent="0.35">
      <c r="F54" s="329"/>
      <c r="G54" s="329"/>
      <c r="H54" s="87"/>
      <c r="I54" s="87"/>
      <c r="J54" s="87"/>
      <c r="K54" s="87"/>
      <c r="L54" s="87"/>
      <c r="M54" s="87"/>
      <c r="N54" s="87"/>
      <c r="O54" s="333">
        <f>VLOOKUP($AH$14,TABLA_BASE[],40,FALSE)</f>
        <v>2080.5755663811974</v>
      </c>
      <c r="P54" s="87"/>
      <c r="Q54" s="87"/>
      <c r="R54" s="87"/>
      <c r="S54" s="87"/>
      <c r="T54" s="87"/>
      <c r="U54" s="87"/>
    </row>
    <row r="55" spans="6:21" s="86" customFormat="1" x14ac:dyDescent="0.25">
      <c r="F55" s="329"/>
      <c r="G55" s="329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</row>
    <row r="56" spans="6:21" s="86" customFormat="1" x14ac:dyDescent="0.25">
      <c r="F56" s="329"/>
      <c r="G56" s="329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</row>
    <row r="57" spans="6:21" s="86" customFormat="1" x14ac:dyDescent="0.25">
      <c r="F57" s="329"/>
      <c r="G57" s="329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</row>
    <row r="58" spans="6:21" s="301" customFormat="1" ht="21" x14ac:dyDescent="0.35">
      <c r="F58" s="330"/>
      <c r="G58" s="330"/>
      <c r="H58" s="335"/>
      <c r="I58" s="331"/>
      <c r="J58" s="331"/>
      <c r="K58" s="336"/>
      <c r="L58" s="331"/>
      <c r="M58" s="335"/>
      <c r="N58" s="335"/>
      <c r="O58" s="335"/>
      <c r="P58" s="335"/>
      <c r="Q58" s="333"/>
      <c r="R58" s="331"/>
      <c r="S58" s="331"/>
      <c r="T58" s="331"/>
      <c r="U58" s="331"/>
    </row>
    <row r="59" spans="6:21" s="86" customFormat="1" x14ac:dyDescent="0.25">
      <c r="F59" s="329"/>
      <c r="G59" s="329"/>
      <c r="H59" s="328">
        <f>VLOOKUP($AH$14,TABLA_BASE[],42,FALSE)</f>
        <v>5.5136891519203939</v>
      </c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</row>
    <row r="60" spans="6:21" s="86" customFormat="1" x14ac:dyDescent="0.25">
      <c r="F60" s="329"/>
      <c r="G60" s="329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</row>
    <row r="61" spans="6:21" s="86" customFormat="1" x14ac:dyDescent="0.25">
      <c r="F61" s="329"/>
      <c r="G61" s="329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</row>
    <row r="62" spans="6:21" s="86" customFormat="1" x14ac:dyDescent="0.25">
      <c r="F62" s="329"/>
      <c r="G62" s="329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</row>
    <row r="63" spans="6:21" s="86" customFormat="1" x14ac:dyDescent="0.25">
      <c r="F63" s="329"/>
      <c r="G63" s="329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</row>
    <row r="64" spans="6:21" s="86" customFormat="1" x14ac:dyDescent="0.25">
      <c r="F64" s="329"/>
      <c r="G64" s="329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</row>
    <row r="65" spans="1:31" s="301" customFormat="1" ht="21" x14ac:dyDescent="0.35">
      <c r="F65" s="330"/>
      <c r="G65" s="330"/>
      <c r="H65" s="333"/>
      <c r="I65" s="331"/>
      <c r="J65" s="331"/>
      <c r="K65" s="337"/>
      <c r="L65" s="331"/>
      <c r="M65" s="338"/>
      <c r="N65" s="331"/>
      <c r="O65" s="331"/>
      <c r="P65" s="331"/>
      <c r="Q65" s="331"/>
      <c r="R65" s="331"/>
      <c r="S65" s="331"/>
      <c r="T65" s="331"/>
      <c r="U65" s="331"/>
    </row>
    <row r="66" spans="1:31" s="86" customFormat="1" x14ac:dyDescent="0.25">
      <c r="F66" s="329"/>
      <c r="G66" s="329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</row>
    <row r="67" spans="1:31" s="86" customFormat="1" x14ac:dyDescent="0.25">
      <c r="F67" s="329"/>
      <c r="G67" s="329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</row>
    <row r="68" spans="1:31" s="86" customFormat="1" x14ac:dyDescent="0.25">
      <c r="F68" s="329"/>
      <c r="G68" s="329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</row>
    <row r="69" spans="1:31" s="309" customFormat="1" ht="312" customHeight="1" x14ac:dyDescent="0.25">
      <c r="A69" s="308"/>
      <c r="B69" s="308"/>
      <c r="C69" s="308"/>
      <c r="D69" s="308"/>
      <c r="E69" s="308"/>
      <c r="F69" s="308"/>
      <c r="G69" s="308"/>
      <c r="H69" s="308"/>
      <c r="I69" s="308"/>
      <c r="J69" s="308"/>
      <c r="K69" s="308"/>
      <c r="L69" s="308"/>
      <c r="M69" s="308"/>
      <c r="P69" s="308"/>
      <c r="Q69" s="308"/>
      <c r="R69" s="308"/>
      <c r="S69" s="308"/>
      <c r="T69" s="308"/>
      <c r="U69" s="308"/>
      <c r="V69" s="308"/>
      <c r="W69" s="308"/>
      <c r="X69" s="308"/>
      <c r="Y69" s="308"/>
      <c r="Z69" s="308"/>
      <c r="AA69" s="308"/>
      <c r="AB69" s="308"/>
      <c r="AC69" s="308"/>
      <c r="AD69" s="308"/>
      <c r="AE69" s="308"/>
    </row>
  </sheetData>
  <mergeCells count="5">
    <mergeCell ref="B13:AG13"/>
    <mergeCell ref="AH13:AP13"/>
    <mergeCell ref="AH14:AP14"/>
    <mergeCell ref="C16:E18"/>
    <mergeCell ref="F30:X30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37350BF-F27C-4F51-8A3A-346C73BAC3CF}">
          <x14:formula1>
            <xm:f>'Detallado por producto'!$A$3:$A$11</xm:f>
          </x14:formula1>
          <xm:sqref>AF20:AN20</xm:sqref>
        </x14:dataValidation>
        <x14:dataValidation type="list" showInputMessage="1" showErrorMessage="1" xr:uid="{366032B7-9751-4C20-A6DE-1030C3EB70C5}">
          <x14:formula1>
            <xm:f>'Detallado por producto'!$A$3:$A$89</xm:f>
          </x14:formula1>
          <xm:sqref>AH14:AP14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🏠 PORTADA</vt:lpstr>
      <vt:lpstr>📖 Instrucciones</vt:lpstr>
      <vt:lpstr>Doc. Necesarios</vt:lpstr>
      <vt:lpstr>📋 Datos Generales</vt:lpstr>
      <vt:lpstr>🧾 Factura Comercial</vt:lpstr>
      <vt:lpstr>📦 Gastos Importación</vt:lpstr>
      <vt:lpstr>🧾 Tributos Aduana</vt:lpstr>
      <vt:lpstr>🧮 Costos x Producto</vt:lpstr>
      <vt:lpstr>💰 Precio de Venta</vt:lpstr>
      <vt:lpstr>🏦 Crédito Fiscal</vt:lpstr>
      <vt:lpstr>Detallado por producto</vt:lpstr>
      <vt:lpstr>📊 Dashboard</vt:lpstr>
      <vt:lpstr>📊 Dashboard General</vt:lpstr>
      <vt:lpstr>🏦Detallado por Producto</vt:lpstr>
      <vt:lpstr>📊 KPI x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Rosalinda Jimenez Espinoza</cp:lastModifiedBy>
  <cp:revision>5</cp:revision>
  <dcterms:created xsi:type="dcterms:W3CDTF">2026-02-24T16:55:53Z</dcterms:created>
  <dcterms:modified xsi:type="dcterms:W3CDTF">2026-03-30T03:19:42Z</dcterms:modified>
  <dc:language>en-US</dc:language>
</cp:coreProperties>
</file>